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26" sheetId="1" r:id="rId5"/>
    <sheet state="visible" name="2026" sheetId="2" r:id="rId6"/>
    <sheet state="visible" name="2025" sheetId="3" r:id="rId7"/>
    <sheet state="visible" name="2024" sheetId="4" r:id="rId8"/>
    <sheet state="visible" name="Camisas" sheetId="5" r:id="rId9"/>
    <sheet state="visible" name="Eventos" sheetId="6" r:id="rId10"/>
    <sheet state="visible" name="Dictionary" sheetId="7" r:id="rId11"/>
    <sheet state="visible" name="Dashboard 25" sheetId="8" r:id="rId12"/>
  </sheets>
  <definedNames>
    <definedName hidden="1" localSheetId="2" name="_xlnm._FilterDatabase">'2025'!$A$1:$D$917</definedName>
  </definedNames>
  <calcPr/>
  <pivotCaches>
    <pivotCache cacheId="0" r:id="rId13"/>
    <pivotCache cacheId="1" r:id="rId14"/>
    <pivotCache cacheId="2" r:id="rId15"/>
    <pivotCache cacheId="3" r:id="rId16"/>
  </pivotCaches>
</workbook>
</file>

<file path=xl/sharedStrings.xml><?xml version="1.0" encoding="utf-8"?>
<sst xmlns="http://schemas.openxmlformats.org/spreadsheetml/2006/main" count="1214" uniqueCount="180">
  <si>
    <t>Mes</t>
  </si>
  <si>
    <t>SUM de Valor</t>
  </si>
  <si>
    <t>Mensal do mês atual</t>
  </si>
  <si>
    <t xml:space="preserve">1 - </t>
  </si>
  <si>
    <t>✅</t>
  </si>
  <si>
    <t>01/26</t>
  </si>
  <si>
    <t xml:space="preserve">2 - </t>
  </si>
  <si>
    <t>02/26</t>
  </si>
  <si>
    <t>3 -</t>
  </si>
  <si>
    <t>03/26</t>
  </si>
  <si>
    <t>4 -</t>
  </si>
  <si>
    <t>04/26</t>
  </si>
  <si>
    <t>5 -</t>
  </si>
  <si>
    <t>05/26</t>
  </si>
  <si>
    <t>6 -</t>
  </si>
  <si>
    <t>06/25</t>
  </si>
  <si>
    <t>7 -</t>
  </si>
  <si>
    <t>Total geral</t>
  </si>
  <si>
    <t>8 -</t>
  </si>
  <si>
    <t>9 -</t>
  </si>
  <si>
    <t>10 -</t>
  </si>
  <si>
    <t>11 -</t>
  </si>
  <si>
    <t>12 -</t>
  </si>
  <si>
    <t>13 -</t>
  </si>
  <si>
    <t>14 -</t>
  </si>
  <si>
    <t>Nome</t>
  </si>
  <si>
    <t>Valor</t>
  </si>
  <si>
    <t>Tipo</t>
  </si>
  <si>
    <t>Roger</t>
  </si>
  <si>
    <t>Breno</t>
  </si>
  <si>
    <t>Filipinho</t>
  </si>
  <si>
    <t>Vitor</t>
  </si>
  <si>
    <t>Quadra</t>
  </si>
  <si>
    <t>Binho</t>
  </si>
  <si>
    <t>Murilo</t>
  </si>
  <si>
    <t>Gui</t>
  </si>
  <si>
    <t>Raulnir</t>
  </si>
  <si>
    <t>Tales</t>
  </si>
  <si>
    <t>Caveira</t>
  </si>
  <si>
    <t>Tio Valdo</t>
  </si>
  <si>
    <t>Moha</t>
  </si>
  <si>
    <t>Sartor</t>
  </si>
  <si>
    <t>Goleiro</t>
  </si>
  <si>
    <t>Deninho</t>
  </si>
  <si>
    <t>Bita</t>
  </si>
  <si>
    <t>Erick</t>
  </si>
  <si>
    <t>Marcao</t>
  </si>
  <si>
    <t>Leandro</t>
  </si>
  <si>
    <t>Samoel</t>
  </si>
  <si>
    <t>Cod</t>
  </si>
  <si>
    <t>Tio Zé</t>
  </si>
  <si>
    <t>Marcelo</t>
  </si>
  <si>
    <t>Samuca</t>
  </si>
  <si>
    <t>Manu</t>
  </si>
  <si>
    <t>Malcom</t>
  </si>
  <si>
    <t>Felipinho</t>
  </si>
  <si>
    <t>Victor</t>
  </si>
  <si>
    <t>Caleb</t>
  </si>
  <si>
    <t>Pedro</t>
  </si>
  <si>
    <t>Roberto</t>
  </si>
  <si>
    <t>Samuka</t>
  </si>
  <si>
    <t>Douglas</t>
  </si>
  <si>
    <t>Valdo</t>
  </si>
  <si>
    <t>Theo</t>
  </si>
  <si>
    <t>Israel</t>
  </si>
  <si>
    <t>Cleber</t>
  </si>
  <si>
    <t>Diogo</t>
  </si>
  <si>
    <t>João</t>
  </si>
  <si>
    <t>Zé</t>
  </si>
  <si>
    <t>Rodrigo</t>
  </si>
  <si>
    <t>Stefano</t>
  </si>
  <si>
    <t>Brandao</t>
  </si>
  <si>
    <t>Nicolas</t>
  </si>
  <si>
    <t>Felipe</t>
  </si>
  <si>
    <t>Goleiro Roberto</t>
  </si>
  <si>
    <t>Ruan</t>
  </si>
  <si>
    <t>Matheus</t>
  </si>
  <si>
    <t>Matheuszinho</t>
  </si>
  <si>
    <t>01/25</t>
  </si>
  <si>
    <t>Carlos</t>
  </si>
  <si>
    <t>Marcelo Machado</t>
  </si>
  <si>
    <t>Deucher</t>
  </si>
  <si>
    <t>Goleiro (App)</t>
  </si>
  <si>
    <t>Eduardo</t>
  </si>
  <si>
    <t>Leandro Melo</t>
  </si>
  <si>
    <t>Leandrinho</t>
  </si>
  <si>
    <t>Fabiano</t>
  </si>
  <si>
    <t>02/25</t>
  </si>
  <si>
    <t>Marcão</t>
  </si>
  <si>
    <t>Mauricio</t>
  </si>
  <si>
    <t>Pai do Caveira</t>
  </si>
  <si>
    <t>03/25</t>
  </si>
  <si>
    <t>Brandão</t>
  </si>
  <si>
    <t>quadra</t>
  </si>
  <si>
    <t>Camisa horário</t>
  </si>
  <si>
    <t>Saldo Salchipão</t>
  </si>
  <si>
    <t>04/25</t>
  </si>
  <si>
    <t>Pai do Filipinho</t>
  </si>
  <si>
    <t>FIlipinho</t>
  </si>
  <si>
    <t>Deparis</t>
  </si>
  <si>
    <t>05/25</t>
  </si>
  <si>
    <t>Gui Alemão</t>
  </si>
  <si>
    <t>Joel</t>
  </si>
  <si>
    <t>Leonardo</t>
  </si>
  <si>
    <t>Bitta</t>
  </si>
  <si>
    <t>Reembolso Leandro</t>
  </si>
  <si>
    <t>Malcon</t>
  </si>
  <si>
    <t>deparis</t>
  </si>
  <si>
    <t>07/25</t>
  </si>
  <si>
    <t>Titi</t>
  </si>
  <si>
    <t>Geovani</t>
  </si>
  <si>
    <t>Matheus Bittencourt</t>
  </si>
  <si>
    <t>yuri</t>
  </si>
  <si>
    <t>08/25</t>
  </si>
  <si>
    <t>Thalles</t>
  </si>
  <si>
    <t>09/25</t>
  </si>
  <si>
    <t>10/25</t>
  </si>
  <si>
    <t>Vinicius Santiago</t>
  </si>
  <si>
    <t>Mensal</t>
  </si>
  <si>
    <t>Humberto</t>
  </si>
  <si>
    <t>Vini</t>
  </si>
  <si>
    <t>DeParis</t>
  </si>
  <si>
    <t>Yuri</t>
  </si>
  <si>
    <t>Tw7</t>
  </si>
  <si>
    <t>11/25</t>
  </si>
  <si>
    <t>Guilherme</t>
  </si>
  <si>
    <t>TW7</t>
  </si>
  <si>
    <t>Mensalidade</t>
  </si>
  <si>
    <t>Goleiro App</t>
  </si>
  <si>
    <t>Roberto (Goleiro)</t>
  </si>
  <si>
    <t>12/25</t>
  </si>
  <si>
    <t>11/24</t>
  </si>
  <si>
    <t>Leonardo Melo</t>
  </si>
  <si>
    <t>Marquinhos</t>
  </si>
  <si>
    <t>Pedrinho</t>
  </si>
  <si>
    <t>Lucas (avulso)</t>
  </si>
  <si>
    <t>Tiago</t>
  </si>
  <si>
    <t>Lucas Alves</t>
  </si>
  <si>
    <t>Vini Santiago</t>
  </si>
  <si>
    <t>12/24</t>
  </si>
  <si>
    <t>Churras</t>
  </si>
  <si>
    <t>Ze</t>
  </si>
  <si>
    <t>Lenadrinho</t>
  </si>
  <si>
    <t xml:space="preserve"> G </t>
  </si>
  <si>
    <t>As duas</t>
  </si>
  <si>
    <t xml:space="preserve"> M </t>
  </si>
  <si>
    <t xml:space="preserve"> P </t>
  </si>
  <si>
    <t xml:space="preserve"> GG </t>
  </si>
  <si>
    <t>Andrey</t>
  </si>
  <si>
    <t>Alex.</t>
  </si>
  <si>
    <t>Maurício</t>
  </si>
  <si>
    <t>Apenas uma</t>
  </si>
  <si>
    <t>Horário</t>
  </si>
  <si>
    <t>Marcos Schmidt</t>
  </si>
  <si>
    <t xml:space="preserve">Leandrinho </t>
  </si>
  <si>
    <t>Compra</t>
  </si>
  <si>
    <t>Pessoa</t>
  </si>
  <si>
    <t>Gasto</t>
  </si>
  <si>
    <t>Data</t>
  </si>
  <si>
    <t>Descrição</t>
  </si>
  <si>
    <t>Churrasqueira</t>
  </si>
  <si>
    <t>Aluguel - Churrasqueira</t>
  </si>
  <si>
    <t>Carne</t>
  </si>
  <si>
    <t>Pães - Salchipão</t>
  </si>
  <si>
    <t xml:space="preserve">Salsichões </t>
  </si>
  <si>
    <t>Tio Waldo</t>
  </si>
  <si>
    <t>SUM de Gasto</t>
  </si>
  <si>
    <t>Pagamentos</t>
  </si>
  <si>
    <t>Guilhere</t>
  </si>
  <si>
    <t>Valores</t>
  </si>
  <si>
    <t>Avulso</t>
  </si>
  <si>
    <t>Quadra 4 jogos</t>
  </si>
  <si>
    <t>Quadra 5 jogos</t>
  </si>
  <si>
    <t>Avulso antigo</t>
  </si>
  <si>
    <t>Goleiro App (por fora)</t>
  </si>
  <si>
    <t>Quadra 3 jogos</t>
  </si>
  <si>
    <t>Quadra 2026</t>
  </si>
  <si>
    <t>(Mensal 5 jogos)</t>
  </si>
  <si>
    <t>Quadra 2026 - 5 jogos</t>
  </si>
  <si>
    <t>COUNTA de Tipo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</si>
</sst>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MM/yyyy"/>
    <numFmt numFmtId="166" formatCode="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933" sheet="2026"/>
  </cacheSource>
  <cacheFields>
    <cacheField name="Nome" numFmtId="0">
      <sharedItems containsBlank="1">
        <s v="Roger"/>
        <s v="Breno"/>
        <s v="Filipinho"/>
        <s v="Vitor"/>
        <s v="Quadra"/>
        <s v="Binho"/>
        <s v="Murilo"/>
        <s v="Gui"/>
        <s v="Raulnir"/>
        <s v="Tales"/>
        <s v="Caveira"/>
        <s v="Tio Valdo"/>
        <s v="Moha"/>
        <s v="Sartor"/>
        <s v="Goleiro"/>
        <s v="Deninho"/>
        <s v="Bita"/>
        <s v="Erick"/>
        <s v="Marcao"/>
        <s v="Leandro"/>
        <s v="Samoel"/>
        <s v="Cod"/>
        <s v="Tio Zé"/>
        <s v="Marcelo"/>
        <s v="Samuca"/>
        <s v="Manu"/>
        <s v="Malcom"/>
        <s v="Felipinho"/>
        <s v="Victor"/>
        <s v="Caleb"/>
        <s v="Pedro"/>
        <s v="Roberto"/>
        <s v="Samuka"/>
        <s v="Douglas"/>
        <s v="Valdo"/>
        <s v="Theo"/>
        <s v="Israel"/>
        <s v="Cleber"/>
        <s v="Diogo"/>
        <s v="João"/>
        <s v="Zé"/>
        <s v="Rodrigo"/>
        <s v="Stefano"/>
        <s v="Brandao"/>
        <s v="Nicolas"/>
        <s v="Felipe"/>
        <s v="Goleiro Roberto"/>
        <s v="Ruan"/>
        <s v="Matheus"/>
        <m/>
      </sharedItems>
    </cacheField>
    <cacheField name="Valor" numFmtId="164">
      <sharedItems containsString="0" containsBlank="1" containsNumber="1" containsInteger="1">
        <n v="75.0"/>
        <n v="25.0"/>
        <n v="-960.0"/>
        <n v="-40.0"/>
        <n v="-30.0"/>
        <n v="60.0"/>
        <n v="-720.0"/>
        <n v="20.0"/>
        <n v="80.0"/>
        <n v="-1150.0"/>
        <n v="85.0"/>
        <m/>
        <n v="-45.0"/>
        <n v="-1100.0"/>
      </sharedItems>
    </cacheField>
    <cacheField name="Mes" numFmtId="0">
      <sharedItems containsBlank="1">
        <s v="01/26"/>
        <s v="02/26"/>
        <s v="03/26"/>
        <s v="04/26"/>
        <s v="05/26"/>
        <s v="06/25"/>
        <m/>
      </sharedItems>
    </cacheField>
    <cacheField name="Tipo" numFmtId="0">
      <sharedItems containsBlank="1">
        <s v="Mensal"/>
        <s v="Avulso"/>
        <s v="Quadra 2026 - 4 JOGOS"/>
        <s v="Goleiro App"/>
        <s v="Goleiro App (por fora)"/>
        <s v="Quadra 2026 - 3 JOGOS"/>
        <s v="Avulso antigo"/>
        <s v="Quadra 2026 - 5 jogos"/>
        <s v=""/>
        <s v="Quadra 5 jogos"/>
        <m/>
      </sharedItems>
    </cacheField>
    <cacheField name="tipo2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001" sheet="Eventos"/>
  </cacheSource>
  <cacheFields>
    <cacheField name="Pessoa" numFmtId="164">
      <sharedItems containsBlank="1">
        <s v="Churrasqueira"/>
        <s v="Carne"/>
        <s v="Samuka"/>
        <s v="Tales"/>
        <s v="Marcelo"/>
        <s v="Tio Waldo"/>
        <s v="Raulnir"/>
        <s v="Tio Zé"/>
        <s v="Deninho"/>
        <s v="Marcao"/>
        <s v="Fabiano"/>
        <s v="Deucher"/>
        <s v="Caveira"/>
        <s v="Murilo"/>
        <s v="Pagamentos"/>
        <s v="Guilhere"/>
        <s v="Roger"/>
        <s v="Tio Valdo"/>
        <s v="Samuca"/>
        <s v="Breno"/>
        <s v="Sartor"/>
        <s v="Erick"/>
        <s v="Bitta"/>
        <m/>
      </sharedItems>
    </cacheField>
    <cacheField name="Gasto" numFmtId="164">
      <sharedItems containsString="0" containsBlank="1" containsNumber="1" containsInteger="1">
        <n v="-60.0"/>
        <n v="-40.0"/>
        <n v="-175.0"/>
        <n v="20.0"/>
        <n v="-65.0"/>
        <n v="100.0"/>
        <n v="-420.0"/>
        <n v="40.0"/>
        <m/>
      </sharedItems>
    </cacheField>
    <cacheField name="Data" numFmtId="165">
      <sharedItems containsDate="1" containsString="0" containsBlank="1"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4-01T00:00:00Z"/>
        <d v="2025-11-01T00:00:00Z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896" sheet="2025"/>
  </cacheSource>
  <cacheFields>
    <cacheField name="Nome" numFmtId="0">
      <sharedItems containsBlank="1">
        <s v="Matheuszinho"/>
        <s v="Caveira"/>
        <s v="Carlos"/>
        <s v="Brandao"/>
        <s v="Tio Zé"/>
        <s v="Sartor"/>
        <s v="Marcelo Machado"/>
        <s v="Moha"/>
        <s v="Deucher"/>
        <s v="Erick"/>
        <s v="Tio Valdo"/>
        <s v="Roger"/>
        <s v="Murilo"/>
        <s v="Goleiro (App)"/>
        <s v="Quadra"/>
        <s v="Samuka"/>
        <s v="Filipinho"/>
        <s v="Eduardo"/>
        <s v="Leandro Melo"/>
        <s v="Leandrinho"/>
        <s v="Fabiano"/>
        <s v="Vitor"/>
        <s v="Tales"/>
        <s v="Marcão"/>
        <s v="Raulnir"/>
        <s v="Malcom"/>
        <s v="Mauricio"/>
        <s v="Pai do Caveira"/>
        <s v="Gui"/>
        <s v="Brandão"/>
        <s v="Marcao"/>
        <s v="Deninho"/>
        <s v="Camisa horário"/>
        <s v="Saldo Salchipão"/>
        <s v="Leandro"/>
        <s v="Israel"/>
        <s v="Pai do Filipinho"/>
        <s v="Samoel"/>
        <s v="Deparis"/>
        <s v="Gui Alemão"/>
        <s v="Joel"/>
        <s v="Leonardo"/>
        <s v="Breno"/>
        <s v="Bitta"/>
        <s v="Reembolso Leandro"/>
        <s v="Samuca"/>
        <s v="Malcon"/>
        <s v="Titi"/>
        <s v="Geovani"/>
        <s v="Matheus Bittencourt"/>
        <s v="yuri"/>
        <s v="Valdo"/>
        <s v="Thalles"/>
        <s v="Cod"/>
        <s v="Victor"/>
        <s v="Bita"/>
        <s v="Vinicius Santiago"/>
        <s v="Humberto"/>
        <m/>
        <s v="Binho"/>
        <s v="Vini"/>
        <s v="Marcelo"/>
        <s v="Tw7"/>
        <s v="Guilherme"/>
        <s v="Mensalidade"/>
        <s v="Roberto (Goleiro)"/>
      </sharedItems>
    </cacheField>
    <cacheField name="Valor" numFmtId="164">
      <sharedItems containsString="0" containsBlank="1" containsNumber="1" containsInteger="1">
        <n v="60.0"/>
        <n v="25.0"/>
        <n v="-38.0"/>
        <n v="-920.0"/>
        <n v="75.0"/>
        <n v="50.0"/>
        <n v="-40.0"/>
        <n v="-690.0"/>
        <n v="-240.0"/>
        <n v="-33.0"/>
        <n v="-35.0"/>
        <n v="20.0"/>
        <n v="-1100.0"/>
        <n v="-25.0"/>
        <n v="-75.0"/>
        <m/>
        <n v="-30.0"/>
        <n v="-70.0"/>
      </sharedItems>
    </cacheField>
    <cacheField name="Mes" numFmtId="0">
      <sharedItems containsBlank="1">
        <s v="01/25"/>
        <s v="02/25"/>
        <s v="03/25"/>
        <s v="04/25"/>
        <s v="05/25"/>
        <s v="06/25"/>
        <s v="07/25"/>
        <s v="08/25"/>
        <s v="09/25"/>
        <s v="10/25"/>
        <m/>
        <s v="11/25"/>
        <s v="12/25"/>
      </sharedItems>
    </cacheField>
    <cacheField name="Tipo" numFmtId="0">
      <sharedItems containsBlank="1">
        <s v="Mensal"/>
        <s v="Avulso"/>
        <s v="Goleiro App"/>
        <s v="Quadra 4 jogos"/>
        <e v="#N/A"/>
        <s v="Quadra 3 jogos"/>
        <s v="Quadra 2026"/>
        <s v="Avulso antigo"/>
        <s v="Quadra 5 jogos"/>
        <m/>
        <s v="Goleiro App (por fora)"/>
      </sharedItems>
    </cacheField>
    <cacheField name="tipo2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896" sheet="2025"/>
  </cacheSource>
  <cacheFields>
    <cacheField name="Nome" numFmtId="0">
      <sharedItems containsBlank="1">
        <s v="Matheuszinho"/>
        <s v="Caveira"/>
        <s v="Carlos"/>
        <s v="Brandao"/>
        <s v="Tio Zé"/>
        <s v="Sartor"/>
        <s v="Marcelo Machado"/>
        <s v="Moha"/>
        <s v="Deucher"/>
        <s v="Erick"/>
        <s v="Tio Valdo"/>
        <s v="Roger"/>
        <s v="Murilo"/>
        <s v="Goleiro (App)"/>
        <s v="Quadra"/>
        <s v="Samuka"/>
        <s v="Filipinho"/>
        <s v="Eduardo"/>
        <s v="Leandro Melo"/>
        <s v="Leandrinho"/>
        <s v="Fabiano"/>
        <s v="Vitor"/>
        <s v="Tales"/>
        <s v="Marcão"/>
        <s v="Raulnir"/>
        <s v="Malcom"/>
        <s v="Mauricio"/>
        <s v="Pai do Caveira"/>
        <s v="Gui"/>
        <s v="Brandão"/>
        <s v="Marcao"/>
        <s v="Deninho"/>
        <s v="Camisa horário"/>
        <s v="Saldo Salchipão"/>
        <s v="Leandro"/>
        <s v="Israel"/>
        <s v="Pai do Filipinho"/>
        <s v="Samoel"/>
        <s v="Deparis"/>
        <s v="Gui Alemão"/>
        <s v="Joel"/>
        <s v="Leonardo"/>
        <s v="Breno"/>
        <s v="Bitta"/>
        <s v="Reembolso Leandro"/>
        <s v="Samuca"/>
        <s v="Malcon"/>
        <s v="Titi"/>
        <s v="Geovani"/>
        <s v="Matheus Bittencourt"/>
        <s v="yuri"/>
        <s v="Valdo"/>
        <s v="Thalles"/>
        <s v="Cod"/>
        <s v="Victor"/>
        <s v="Bita"/>
        <s v="Vinicius Santiago"/>
        <s v="Humberto"/>
        <m/>
        <s v="Binho"/>
        <s v="Vini"/>
        <s v="Marcelo"/>
        <s v="Tw7"/>
        <s v="Guilherme"/>
        <s v="Mensalidade"/>
        <s v="Roberto (Goleiro)"/>
      </sharedItems>
    </cacheField>
    <cacheField name="Valor" numFmtId="164">
      <sharedItems containsString="0" containsBlank="1" containsNumber="1" containsInteger="1">
        <n v="60.0"/>
        <n v="25.0"/>
        <n v="-38.0"/>
        <n v="-920.0"/>
        <n v="75.0"/>
        <n v="50.0"/>
        <n v="-40.0"/>
        <n v="-690.0"/>
        <n v="-240.0"/>
        <n v="-33.0"/>
        <n v="-35.0"/>
        <n v="20.0"/>
        <n v="-1100.0"/>
        <n v="-25.0"/>
        <n v="-75.0"/>
        <m/>
        <n v="-30.0"/>
        <n v="-70.0"/>
      </sharedItems>
    </cacheField>
    <cacheField name="Mes" numFmtId="0">
      <sharedItems containsBlank="1">
        <s v="01/25"/>
        <s v="02/25"/>
        <s v="03/25"/>
        <s v="04/25"/>
        <s v="05/25"/>
        <s v="06/25"/>
        <s v="07/25"/>
        <s v="08/25"/>
        <s v="09/25"/>
        <s v="10/25"/>
        <m/>
        <s v="11/25"/>
        <s v="12/25"/>
      </sharedItems>
    </cacheField>
    <cacheField name="Tipo" numFmtId="0">
      <sharedItems containsBlank="1">
        <s v="Mensal"/>
        <s v="Avulso"/>
        <s v="Goleiro App"/>
        <s v="Quadra 4 jogos"/>
        <e v="#N/A"/>
        <s v="Quadra 3 jogos"/>
        <s v="Quadra 2026"/>
        <s v="Avulso antigo"/>
        <s v="Quadra 5 jogos"/>
        <m/>
        <s v="Goleiro App (por fora)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Dashboard 26" cacheId="0" dataCaption="" compact="0" compactData="0">
  <location ref="A1:B9" firstHeaderRow="0" firstDataRow="1" firstDataCol="0"/>
  <pivotFields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Valor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es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ipo2" compact="0" outline="0" multipleItemSelectionAllowed="1" showAll="0">
      <items>
        <item x="0"/>
        <item t="default"/>
      </items>
    </pivotField>
  </pivotFields>
  <rowFields>
    <field x="2"/>
  </rowFields>
  <dataFields>
    <dataField name="SUM of Valor" fld="1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Eventos" cacheId="1" dataCaption="" compact="0" compactData="0">
  <location ref="F8:G25" firstHeaderRow="0" firstDataRow="1" firstDataCol="0"/>
  <pivotFields>
    <pivotField name="Pesso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Gast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ata" axis="axisRow" compact="0" numFmtId="165" outline="0" multipleItemSelectionAllowed="1" showAll="0" sortType="ascending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dataFields>
    <dataField name="SUM of Gasto" fld="1" baseField="0"/>
  </dataFields>
</pivotTableDefinition>
</file>

<file path=xl/pivotTables/pivotTable3.xml><?xml version="1.0" encoding="utf-8"?>
<pivotTableDefinition xmlns="http://schemas.openxmlformats.org/spreadsheetml/2006/main" name="Dashboard 25" cacheId="2" dataCaption="" compact="0" compactData="0">
  <location ref="A1:B15" firstHeaderRow="0" firstDataRow="1" firstDataCol="0"/>
  <pivotFields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Valor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es" axis="axisRow" compact="0" outline="0" multipleItemSelectionAllowed="1" showAll="0" sortType="ascending">
      <items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ipo2" compact="0" outline="0" multipleItemSelectionAllowed="1" showAll="0">
      <items>
        <item x="0"/>
        <item t="default"/>
      </items>
    </pivotField>
  </pivotFields>
  <rowFields>
    <field x="2"/>
  </rowFields>
  <dataFields>
    <dataField name="SUM of Valor" fld="1" baseField="0"/>
  </dataFields>
</pivotTableDefinition>
</file>

<file path=xl/pivotTables/pivotTable4.xml><?xml version="1.0" encoding="utf-8"?>
<pivotTableDefinition xmlns="http://schemas.openxmlformats.org/spreadsheetml/2006/main" name="Dashboard 25 2" cacheId="3" dataCaption="" compact="0" compactData="0">
  <location ref="E1:J15" firstHeaderRow="0" firstDataRow="1" firstDataCol="1"/>
  <pivotFields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Valo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es" axis="axisRow" compact="0" outline="0" multipleItemSelectionAllowed="1" showAll="0" sortType="ascending">
      <items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t="default"/>
      </items>
    </pivotField>
    <pivotField name="Tipo" axis="axisCol" dataField="1" compact="0" outline="0" multipleItemSelectionAllowed="1" showAll="0" sortType="ascending">
      <items>
        <item h="1" x="9"/>
        <item x="1"/>
        <item h="1" x="7"/>
        <item x="2"/>
        <item h="1" x="10"/>
        <item x="0"/>
        <item h="1" x="6"/>
        <item h="1" x="5"/>
        <item h="1" x="3"/>
        <item x="8"/>
        <item h="1" x="4"/>
        <item t="default"/>
      </items>
    </pivotField>
  </pivotFields>
  <rowFields>
    <field x="2"/>
  </rowFields>
  <colFields>
    <field x="3"/>
  </colFields>
  <dataFields>
    <dataField name="COUNTA of Tipo" fld="3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2" t="s">
        <v>2</v>
      </c>
      <c r="K1" s="1" t="str">
        <f>CONCATENATE("0", MONTH(TODAY()), "/", RIGHT(YEAR(TODAY()), 2))</f>
        <v>06/26</v>
      </c>
    </row>
    <row r="2">
      <c r="H2" s="2" t="s">
        <v>3</v>
      </c>
      <c r="I2" s="1" t="str">
        <f>IFERROR(__xludf.DUMMYFUNCTION("QUERY('2026'!A:D,""SELECT A WHERE D = 'Mensal' AND C='""&amp;K1&amp;""'"", FALSE)"),"#N/A")</f>
        <v>#N/A</v>
      </c>
      <c r="J2" s="2" t="s">
        <v>4</v>
      </c>
    </row>
    <row r="3">
      <c r="H3" s="2" t="s">
        <v>6</v>
      </c>
      <c r="J3" s="2" t="s">
        <v>4</v>
      </c>
    </row>
    <row r="4">
      <c r="H4" s="2" t="s">
        <v>8</v>
      </c>
      <c r="J4" s="2" t="s">
        <v>4</v>
      </c>
    </row>
    <row r="5">
      <c r="H5" s="2" t="s">
        <v>10</v>
      </c>
      <c r="J5" s="2" t="s">
        <v>4</v>
      </c>
    </row>
    <row r="6">
      <c r="H6" s="2" t="s">
        <v>12</v>
      </c>
      <c r="J6" s="2" t="s">
        <v>4</v>
      </c>
    </row>
    <row r="7">
      <c r="H7" s="2" t="s">
        <v>14</v>
      </c>
      <c r="J7" s="2" t="s">
        <v>4</v>
      </c>
    </row>
    <row r="8">
      <c r="H8" s="2" t="s">
        <v>16</v>
      </c>
      <c r="J8" s="2" t="s">
        <v>4</v>
      </c>
    </row>
    <row r="9">
      <c r="H9" s="2" t="s">
        <v>18</v>
      </c>
      <c r="J9" s="2" t="s">
        <v>4</v>
      </c>
    </row>
    <row r="10">
      <c r="H10" s="2" t="s">
        <v>19</v>
      </c>
      <c r="J10" s="2" t="s">
        <v>4</v>
      </c>
    </row>
    <row r="11">
      <c r="H11" s="2" t="s">
        <v>20</v>
      </c>
      <c r="J11" s="2" t="s">
        <v>4</v>
      </c>
    </row>
    <row r="12">
      <c r="H12" s="2" t="s">
        <v>21</v>
      </c>
      <c r="J12" s="2" t="s">
        <v>4</v>
      </c>
    </row>
    <row r="13">
      <c r="H13" s="2" t="s">
        <v>22</v>
      </c>
      <c r="J13" s="2" t="s">
        <v>4</v>
      </c>
    </row>
    <row r="14">
      <c r="H14" s="2" t="s">
        <v>23</v>
      </c>
      <c r="J14" s="2" t="s">
        <v>4</v>
      </c>
    </row>
    <row r="15">
      <c r="H15" s="2" t="s">
        <v>24</v>
      </c>
      <c r="J15" s="2" t="s">
        <v>4</v>
      </c>
    </row>
    <row r="16">
      <c r="J16" s="2" t="s">
        <v>4</v>
      </c>
    </row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4" max="4" width="19.38"/>
  </cols>
  <sheetData>
    <row r="1">
      <c r="A1" s="4" t="s">
        <v>25</v>
      </c>
      <c r="B1" s="5" t="s">
        <v>26</v>
      </c>
      <c r="C1" s="2" t="s">
        <v>0</v>
      </c>
      <c r="D1" s="2" t="s">
        <v>27</v>
      </c>
      <c r="E1" s="2" t="s">
        <v>27</v>
      </c>
    </row>
    <row r="2">
      <c r="A2" s="2" t="s">
        <v>28</v>
      </c>
      <c r="B2" s="6">
        <v>75.0</v>
      </c>
      <c r="C2" s="2" t="s">
        <v>5</v>
      </c>
      <c r="D2" s="1" t="str">
        <f>VLOOKUP(B2,Dictionary!A:B,2,FALSE)</f>
        <v>Mensal</v>
      </c>
    </row>
    <row r="3">
      <c r="A3" s="2" t="s">
        <v>29</v>
      </c>
      <c r="B3" s="6">
        <v>25.0</v>
      </c>
      <c r="C3" s="2" t="s">
        <v>5</v>
      </c>
      <c r="D3" s="1" t="str">
        <f>VLOOKUP(B3,Dictionary!A:B,2,FALSE)</f>
        <v>Avulso</v>
      </c>
    </row>
    <row r="4">
      <c r="A4" s="2" t="s">
        <v>30</v>
      </c>
      <c r="B4" s="6">
        <v>75.0</v>
      </c>
      <c r="C4" s="2" t="s">
        <v>5</v>
      </c>
      <c r="D4" s="1" t="str">
        <f>VLOOKUP(B4,Dictionary!A:B,2,FALSE)</f>
        <v>Mensal</v>
      </c>
    </row>
    <row r="5">
      <c r="A5" s="2" t="s">
        <v>31</v>
      </c>
      <c r="B5" s="6">
        <v>75.0</v>
      </c>
      <c r="C5" s="2" t="s">
        <v>5</v>
      </c>
      <c r="D5" s="1" t="str">
        <f>VLOOKUP(B5,Dictionary!A:B,2,FALSE)</f>
        <v>Mensal</v>
      </c>
    </row>
    <row r="6">
      <c r="A6" s="2" t="s">
        <v>32</v>
      </c>
      <c r="B6" s="6">
        <v>-960.0</v>
      </c>
      <c r="C6" s="2" t="s">
        <v>5</v>
      </c>
      <c r="D6" s="1" t="str">
        <f>VLOOKUP(B6,Dictionary!A:B,2,FALSE)</f>
        <v>Quadra 2026 - 4 JOGOS</v>
      </c>
    </row>
    <row r="7">
      <c r="A7" s="2" t="s">
        <v>33</v>
      </c>
      <c r="B7" s="6">
        <v>25.0</v>
      </c>
      <c r="C7" s="2" t="s">
        <v>5</v>
      </c>
      <c r="D7" s="1" t="str">
        <f>VLOOKUP(B7,Dictionary!A:B,2,FALSE)</f>
        <v>Avulso</v>
      </c>
    </row>
    <row r="8">
      <c r="A8" s="2" t="s">
        <v>33</v>
      </c>
      <c r="B8" s="6">
        <v>25.0</v>
      </c>
      <c r="C8" s="2" t="s">
        <v>5</v>
      </c>
      <c r="D8" s="1" t="str">
        <f>VLOOKUP(B8,Dictionary!A:B,2,FALSE)</f>
        <v>Avulso</v>
      </c>
    </row>
    <row r="9">
      <c r="A9" s="2" t="s">
        <v>34</v>
      </c>
      <c r="B9" s="6">
        <v>75.0</v>
      </c>
      <c r="C9" s="2" t="s">
        <v>5</v>
      </c>
      <c r="D9" s="1" t="str">
        <f>VLOOKUP(B9,Dictionary!A:B,2,FALSE)</f>
        <v>Mensal</v>
      </c>
    </row>
    <row r="10">
      <c r="A10" s="2" t="s">
        <v>35</v>
      </c>
      <c r="B10" s="6">
        <v>75.0</v>
      </c>
      <c r="C10" s="2" t="s">
        <v>5</v>
      </c>
      <c r="D10" s="1" t="str">
        <f>VLOOKUP(B10,Dictionary!A:B,2,FALSE)</f>
        <v>Mensal</v>
      </c>
    </row>
    <row r="11">
      <c r="A11" s="2" t="s">
        <v>36</v>
      </c>
      <c r="B11" s="6">
        <v>75.0</v>
      </c>
      <c r="C11" s="2" t="s">
        <v>5</v>
      </c>
      <c r="D11" s="1" t="str">
        <f>VLOOKUP(B11,Dictionary!A:B,2,FALSE)</f>
        <v>Mensal</v>
      </c>
    </row>
    <row r="12">
      <c r="A12" s="2" t="s">
        <v>37</v>
      </c>
      <c r="B12" s="6">
        <v>75.0</v>
      </c>
      <c r="C12" s="2" t="s">
        <v>5</v>
      </c>
      <c r="D12" s="1" t="str">
        <f>VLOOKUP(B12,Dictionary!A:B,2,FALSE)</f>
        <v>Mensal</v>
      </c>
    </row>
    <row r="13">
      <c r="A13" s="2" t="s">
        <v>38</v>
      </c>
      <c r="B13" s="6">
        <v>75.0</v>
      </c>
      <c r="C13" s="2" t="s">
        <v>5</v>
      </c>
      <c r="D13" s="1" t="str">
        <f>VLOOKUP(B13,Dictionary!A:B,2,FALSE)</f>
        <v>Mensal</v>
      </c>
    </row>
    <row r="14">
      <c r="A14" s="2" t="s">
        <v>39</v>
      </c>
      <c r="B14" s="6">
        <v>75.0</v>
      </c>
      <c r="C14" s="2" t="s">
        <v>5</v>
      </c>
      <c r="D14" s="1" t="str">
        <f>VLOOKUP(B14,Dictionary!A:B,2,FALSE)</f>
        <v>Mensal</v>
      </c>
    </row>
    <row r="15">
      <c r="A15" s="2" t="s">
        <v>40</v>
      </c>
      <c r="B15" s="6">
        <v>25.0</v>
      </c>
      <c r="C15" s="2" t="s">
        <v>5</v>
      </c>
      <c r="D15" s="1" t="str">
        <f>VLOOKUP(B15,Dictionary!A:B,2,FALSE)</f>
        <v>Avulso</v>
      </c>
    </row>
    <row r="16">
      <c r="A16" s="2" t="s">
        <v>41</v>
      </c>
      <c r="B16" s="6">
        <v>75.0</v>
      </c>
      <c r="C16" s="2" t="s">
        <v>5</v>
      </c>
      <c r="D16" s="1" t="str">
        <f>VLOOKUP(B16,Dictionary!A:B,2,FALSE)</f>
        <v>Mensal</v>
      </c>
    </row>
    <row r="17">
      <c r="A17" s="2" t="s">
        <v>42</v>
      </c>
      <c r="B17" s="6">
        <v>-40.0</v>
      </c>
      <c r="C17" s="2" t="s">
        <v>5</v>
      </c>
      <c r="D17" s="1" t="str">
        <f>VLOOKUP(B17,Dictionary!A:B,2,FALSE)</f>
        <v>Goleiro App</v>
      </c>
    </row>
    <row r="18">
      <c r="A18" s="2" t="s">
        <v>43</v>
      </c>
      <c r="B18" s="6">
        <v>75.0</v>
      </c>
      <c r="C18" s="2" t="s">
        <v>5</v>
      </c>
      <c r="D18" s="1" t="str">
        <f>VLOOKUP(B18,Dictionary!A:B,2,FALSE)</f>
        <v>Mensal</v>
      </c>
    </row>
    <row r="19">
      <c r="A19" s="2" t="s">
        <v>44</v>
      </c>
      <c r="B19" s="6">
        <v>25.0</v>
      </c>
      <c r="C19" s="2" t="s">
        <v>5</v>
      </c>
      <c r="D19" s="1" t="str">
        <f>VLOOKUP(B19,Dictionary!A:B,2,FALSE)</f>
        <v>Avulso</v>
      </c>
    </row>
    <row r="20">
      <c r="A20" s="2" t="s">
        <v>44</v>
      </c>
      <c r="B20" s="6">
        <v>25.0</v>
      </c>
      <c r="C20" s="2" t="s">
        <v>5</v>
      </c>
      <c r="D20" s="1" t="str">
        <f>VLOOKUP(B20,Dictionary!A:B,2,FALSE)</f>
        <v>Avulso</v>
      </c>
    </row>
    <row r="21">
      <c r="A21" s="2" t="s">
        <v>42</v>
      </c>
      <c r="B21" s="6">
        <v>-30.0</v>
      </c>
      <c r="C21" s="2" t="s">
        <v>5</v>
      </c>
      <c r="D21" s="1" t="str">
        <f>VLOOKUP(B21,Dictionary!A:B,2,FALSE)</f>
        <v>Goleiro App (por fora)</v>
      </c>
    </row>
    <row r="22">
      <c r="A22" s="2" t="s">
        <v>45</v>
      </c>
      <c r="B22" s="6">
        <v>75.0</v>
      </c>
      <c r="C22" s="2" t="s">
        <v>5</v>
      </c>
      <c r="D22" s="1" t="str">
        <f>VLOOKUP(B22,Dictionary!A:B,2,FALSE)</f>
        <v>Mensal</v>
      </c>
    </row>
    <row r="23">
      <c r="A23" s="2" t="s">
        <v>31</v>
      </c>
      <c r="B23" s="6">
        <v>75.0</v>
      </c>
      <c r="C23" s="2" t="s">
        <v>7</v>
      </c>
      <c r="D23" s="1" t="str">
        <f>VLOOKUP(B23,Dictionary!A:B,2,FALSE)</f>
        <v>Mensal</v>
      </c>
    </row>
    <row r="24">
      <c r="A24" s="2" t="s">
        <v>28</v>
      </c>
      <c r="B24" s="6">
        <v>75.0</v>
      </c>
      <c r="C24" s="2" t="s">
        <v>7</v>
      </c>
      <c r="D24" s="1" t="str">
        <f>VLOOKUP(B24,Dictionary!A:B,2,FALSE)</f>
        <v>Mensal</v>
      </c>
    </row>
    <row r="25">
      <c r="A25" s="2" t="s">
        <v>29</v>
      </c>
      <c r="B25" s="6">
        <v>60.0</v>
      </c>
      <c r="C25" s="2" t="s">
        <v>7</v>
      </c>
      <c r="D25" s="1" t="str">
        <f>VLOOKUP(B25,Dictionary!A:B,2,FALSE)</f>
        <v>Mensal</v>
      </c>
    </row>
    <row r="26">
      <c r="A26" s="2" t="s">
        <v>41</v>
      </c>
      <c r="B26" s="6">
        <v>60.0</v>
      </c>
      <c r="C26" s="2" t="s">
        <v>7</v>
      </c>
      <c r="D26" s="1" t="str">
        <f>VLOOKUP(B26,Dictionary!A:B,2,FALSE)</f>
        <v>Mensal</v>
      </c>
    </row>
    <row r="27">
      <c r="A27" s="2" t="s">
        <v>46</v>
      </c>
      <c r="B27" s="6">
        <v>25.0</v>
      </c>
      <c r="C27" s="2" t="s">
        <v>7</v>
      </c>
      <c r="D27" s="1" t="str">
        <f>VLOOKUP(B27,Dictionary!A:B,2,FALSE)</f>
        <v>Avulso</v>
      </c>
    </row>
    <row r="28">
      <c r="A28" s="2" t="s">
        <v>47</v>
      </c>
      <c r="B28" s="6">
        <v>25.0</v>
      </c>
      <c r="C28" s="2" t="s">
        <v>7</v>
      </c>
      <c r="D28" s="1" t="str">
        <f>VLOOKUP(B28,Dictionary!A:B,2,FALSE)</f>
        <v>Avulso</v>
      </c>
    </row>
    <row r="29">
      <c r="A29" s="2" t="s">
        <v>32</v>
      </c>
      <c r="B29" s="6">
        <v>-720.0</v>
      </c>
      <c r="C29" s="2" t="s">
        <v>7</v>
      </c>
      <c r="D29" s="1" t="str">
        <f>VLOOKUP(B29,Dictionary!A:B,2,FALSE)</f>
        <v>Quadra 2026 - 3 JOGOS</v>
      </c>
    </row>
    <row r="30">
      <c r="A30" s="2" t="s">
        <v>34</v>
      </c>
      <c r="B30" s="6">
        <v>60.0</v>
      </c>
      <c r="C30" s="2" t="s">
        <v>7</v>
      </c>
      <c r="D30" s="1" t="str">
        <f>VLOOKUP(B30,Dictionary!A:B,2,FALSE)</f>
        <v>Mensal</v>
      </c>
    </row>
    <row r="31">
      <c r="A31" s="2" t="s">
        <v>35</v>
      </c>
      <c r="B31" s="6">
        <v>60.0</v>
      </c>
      <c r="C31" s="2" t="s">
        <v>7</v>
      </c>
      <c r="D31" s="1" t="str">
        <f>VLOOKUP(B31,Dictionary!A:B,2,FALSE)</f>
        <v>Mensal</v>
      </c>
    </row>
    <row r="32">
      <c r="A32" s="2" t="s">
        <v>48</v>
      </c>
      <c r="B32" s="6">
        <v>60.0</v>
      </c>
      <c r="C32" s="2" t="s">
        <v>7</v>
      </c>
      <c r="D32" s="1" t="str">
        <f>IFNA(VLOOKUP(B32,Dictionary!A:B,2,FALSE),"")</f>
        <v>Mensal</v>
      </c>
    </row>
    <row r="33">
      <c r="A33" s="2" t="s">
        <v>44</v>
      </c>
      <c r="B33" s="6">
        <v>60.0</v>
      </c>
      <c r="C33" s="2" t="s">
        <v>7</v>
      </c>
      <c r="D33" s="1" t="str">
        <f>IFNA(VLOOKUP(B33,Dictionary!A:B,2,FALSE),"")</f>
        <v>Mensal</v>
      </c>
    </row>
    <row r="34">
      <c r="A34" s="2" t="s">
        <v>49</v>
      </c>
      <c r="B34" s="6">
        <v>20.0</v>
      </c>
      <c r="C34" s="2" t="s">
        <v>7</v>
      </c>
      <c r="D34" s="1" t="str">
        <f>IFNA(VLOOKUP(B34,Dictionary!A:B,2,FALSE),"")</f>
        <v>Avulso antigo</v>
      </c>
    </row>
    <row r="35">
      <c r="A35" s="2" t="s">
        <v>47</v>
      </c>
      <c r="B35" s="6">
        <v>25.0</v>
      </c>
      <c r="C35" s="2" t="s">
        <v>7</v>
      </c>
      <c r="D35" s="1" t="str">
        <f>IFNA(VLOOKUP(B35,Dictionary!A:B,2,FALSE),"")</f>
        <v>Avulso</v>
      </c>
    </row>
    <row r="36">
      <c r="A36" s="2" t="s">
        <v>50</v>
      </c>
      <c r="B36" s="6">
        <v>25.0</v>
      </c>
      <c r="C36" s="2" t="s">
        <v>7</v>
      </c>
      <c r="D36" s="1" t="str">
        <f>IFNA(VLOOKUP(B36,Dictionary!A:B,2,FALSE),"")</f>
        <v>Avulso</v>
      </c>
    </row>
    <row r="37">
      <c r="A37" s="2" t="s">
        <v>30</v>
      </c>
      <c r="B37" s="6">
        <v>25.0</v>
      </c>
      <c r="C37" s="2" t="s">
        <v>7</v>
      </c>
      <c r="D37" s="1" t="str">
        <f>IFNA(VLOOKUP(B37,Dictionary!A:B,2,FALSE),"")</f>
        <v>Avulso</v>
      </c>
    </row>
    <row r="38">
      <c r="A38" s="2" t="s">
        <v>51</v>
      </c>
      <c r="B38" s="6">
        <v>25.0</v>
      </c>
      <c r="C38" s="2" t="s">
        <v>7</v>
      </c>
      <c r="D38" s="1" t="str">
        <f>IFNA(VLOOKUP(B38,Dictionary!A:B,2,FALSE),"")</f>
        <v>Avulso</v>
      </c>
    </row>
    <row r="39">
      <c r="A39" s="2" t="s">
        <v>34</v>
      </c>
      <c r="B39" s="6">
        <v>80.0</v>
      </c>
      <c r="C39" s="2" t="s">
        <v>9</v>
      </c>
      <c r="D39" s="1" t="str">
        <f>IFNA(VLOOKUP(B39,Dictionary!A:B,2,FALSE),"")</f>
        <v>Mensal</v>
      </c>
    </row>
    <row r="40">
      <c r="A40" s="2" t="s">
        <v>35</v>
      </c>
      <c r="B40" s="6">
        <v>80.0</v>
      </c>
      <c r="C40" s="2" t="s">
        <v>9</v>
      </c>
      <c r="D40" s="1" t="str">
        <f>IFNA(VLOOKUP(B40,Dictionary!A:B,2,FALSE),"")</f>
        <v>Mensal</v>
      </c>
    </row>
    <row r="41">
      <c r="A41" s="2" t="s">
        <v>41</v>
      </c>
      <c r="B41" s="6">
        <v>80.0</v>
      </c>
      <c r="C41" s="2" t="s">
        <v>9</v>
      </c>
      <c r="D41" s="1" t="str">
        <f>IFNA(VLOOKUP(B41,Dictionary!A:B,2,FALSE),"")</f>
        <v>Mensal</v>
      </c>
    </row>
    <row r="42">
      <c r="A42" s="2" t="s">
        <v>28</v>
      </c>
      <c r="B42" s="6">
        <v>80.0</v>
      </c>
      <c r="C42" s="2" t="s">
        <v>9</v>
      </c>
      <c r="D42" s="1" t="str">
        <f>IFNA(VLOOKUP(B42,Dictionary!A:B,2,FALSE),"")</f>
        <v>Mensal</v>
      </c>
    </row>
    <row r="43">
      <c r="A43" s="2" t="s">
        <v>31</v>
      </c>
      <c r="B43" s="6">
        <v>60.0</v>
      </c>
      <c r="C43" s="2" t="s">
        <v>9</v>
      </c>
      <c r="D43" s="1" t="str">
        <f>IFNA(VLOOKUP(B43,Dictionary!A:B,2,FALSE),"")</f>
        <v>Mensal</v>
      </c>
    </row>
    <row r="44">
      <c r="A44" s="2" t="s">
        <v>52</v>
      </c>
      <c r="B44" s="6">
        <v>80.0</v>
      </c>
      <c r="C44" s="2" t="s">
        <v>9</v>
      </c>
      <c r="D44" s="1" t="str">
        <f>IFNA(VLOOKUP(B44,Dictionary!A:B,2,FALSE),"")</f>
        <v>Mensal</v>
      </c>
    </row>
    <row r="45">
      <c r="A45" s="2" t="s">
        <v>47</v>
      </c>
      <c r="B45" s="6">
        <v>80.0</v>
      </c>
      <c r="C45" s="2" t="s">
        <v>9</v>
      </c>
      <c r="D45" s="1" t="str">
        <f>IFNA(VLOOKUP(B45,Dictionary!A:B,2,FALSE),"")</f>
        <v>Mensal</v>
      </c>
    </row>
    <row r="46">
      <c r="A46" s="2" t="s">
        <v>38</v>
      </c>
      <c r="B46" s="6">
        <v>25.0</v>
      </c>
      <c r="C46" s="2" t="s">
        <v>9</v>
      </c>
      <c r="D46" s="1" t="str">
        <f>IFNA(VLOOKUP(B46,Dictionary!A:B,2,FALSE),"")</f>
        <v>Avulso</v>
      </c>
    </row>
    <row r="47">
      <c r="A47" s="2" t="s">
        <v>38</v>
      </c>
      <c r="B47" s="6">
        <v>25.0</v>
      </c>
      <c r="C47" s="2" t="s">
        <v>9</v>
      </c>
      <c r="D47" s="1" t="str">
        <f>IFNA(VLOOKUP(B47,Dictionary!A:B,2,FALSE),"")</f>
        <v>Avulso</v>
      </c>
    </row>
    <row r="48">
      <c r="A48" s="2" t="s">
        <v>53</v>
      </c>
      <c r="B48" s="6">
        <v>25.0</v>
      </c>
      <c r="C48" s="2" t="s">
        <v>9</v>
      </c>
      <c r="D48" s="1" t="str">
        <f>IFNA(VLOOKUP(B48,Dictionary!A:B,2,FALSE),"")</f>
        <v>Avulso</v>
      </c>
    </row>
    <row r="49">
      <c r="A49" s="2" t="s">
        <v>37</v>
      </c>
      <c r="B49" s="6">
        <v>80.0</v>
      </c>
      <c r="C49" s="2" t="s">
        <v>9</v>
      </c>
      <c r="D49" s="1" t="str">
        <f>IFNA(VLOOKUP(B49,Dictionary!A:B,2,FALSE),"")</f>
        <v>Mensal</v>
      </c>
    </row>
    <row r="50">
      <c r="A50" s="2" t="s">
        <v>32</v>
      </c>
      <c r="B50" s="6">
        <v>-1150.0</v>
      </c>
      <c r="C50" s="2" t="s">
        <v>9</v>
      </c>
      <c r="D50" s="1" t="str">
        <f>IFNA(VLOOKUP(B50,Dictionary!A:B,2,FALSE),"")</f>
        <v>Quadra 2026 - 5 jogos</v>
      </c>
    </row>
    <row r="51">
      <c r="A51" s="2" t="s">
        <v>43</v>
      </c>
      <c r="B51" s="6">
        <v>80.0</v>
      </c>
      <c r="C51" s="2" t="s">
        <v>9</v>
      </c>
      <c r="D51" s="1" t="str">
        <f>IFNA(VLOOKUP(B51,Dictionary!A:B,2,FALSE),"")</f>
        <v>Mensal</v>
      </c>
    </row>
    <row r="52">
      <c r="A52" s="2" t="s">
        <v>44</v>
      </c>
      <c r="B52" s="6">
        <v>80.0</v>
      </c>
      <c r="C52" s="2" t="s">
        <v>9</v>
      </c>
      <c r="D52" s="1" t="str">
        <f>IFNA(VLOOKUP(B52,Dictionary!A:B,2,FALSE),"")</f>
        <v>Mensal</v>
      </c>
    </row>
    <row r="53">
      <c r="A53" s="2" t="s">
        <v>54</v>
      </c>
      <c r="B53" s="6">
        <v>25.0</v>
      </c>
      <c r="C53" s="2" t="s">
        <v>9</v>
      </c>
      <c r="D53" s="1" t="str">
        <f>IFNA(VLOOKUP(B53,Dictionary!A:B,2,FALSE),"")</f>
        <v>Avulso</v>
      </c>
    </row>
    <row r="54">
      <c r="A54" s="2" t="s">
        <v>53</v>
      </c>
      <c r="B54" s="6">
        <v>25.0</v>
      </c>
      <c r="C54" s="2" t="s">
        <v>9</v>
      </c>
      <c r="D54" s="1" t="str">
        <f>IFNA(VLOOKUP(B54,Dictionary!A:B,2,FALSE),"")</f>
        <v>Avulso</v>
      </c>
    </row>
    <row r="55">
      <c r="A55" s="2" t="s">
        <v>55</v>
      </c>
      <c r="B55" s="6">
        <v>25.0</v>
      </c>
      <c r="C55" s="2" t="s">
        <v>9</v>
      </c>
      <c r="D55" s="1" t="str">
        <f>IFNA(VLOOKUP(B55,Dictionary!A:B,2,FALSE),"")</f>
        <v>Avulso</v>
      </c>
    </row>
    <row r="56">
      <c r="A56" s="2" t="s">
        <v>56</v>
      </c>
      <c r="B56" s="6">
        <v>25.0</v>
      </c>
      <c r="C56" s="2" t="s">
        <v>9</v>
      </c>
      <c r="D56" s="1" t="str">
        <f>IFNA(VLOOKUP(B56,Dictionary!A:B,2,FALSE),"")</f>
        <v>Avulso</v>
      </c>
    </row>
    <row r="57">
      <c r="A57" s="2" t="s">
        <v>45</v>
      </c>
      <c r="B57" s="6">
        <v>85.0</v>
      </c>
      <c r="C57" s="2" t="s">
        <v>9</v>
      </c>
      <c r="D57" s="1" t="str">
        <f>IFNA(VLOOKUP(B57,Dictionary!A:B,2,FALSE),"")</f>
        <v>Mensal</v>
      </c>
    </row>
    <row r="58">
      <c r="A58" s="2" t="s">
        <v>29</v>
      </c>
      <c r="B58" s="6">
        <v>85.0</v>
      </c>
      <c r="C58" s="2" t="s">
        <v>9</v>
      </c>
      <c r="D58" s="1" t="str">
        <f>IFNA(VLOOKUP(B58,Dictionary!A:B,2,FALSE),"")</f>
        <v>Mensal</v>
      </c>
    </row>
    <row r="59">
      <c r="A59" s="2" t="s">
        <v>38</v>
      </c>
      <c r="B59" s="6">
        <v>25.0</v>
      </c>
      <c r="C59" s="2" t="s">
        <v>9</v>
      </c>
      <c r="D59" s="1" t="str">
        <f>IFNA(VLOOKUP(B59,Dictionary!A:B,2,FALSE),"")</f>
        <v>Avulso</v>
      </c>
    </row>
    <row r="60">
      <c r="A60" s="2" t="s">
        <v>57</v>
      </c>
      <c r="B60" s="6">
        <v>25.0</v>
      </c>
      <c r="C60" s="2" t="s">
        <v>9</v>
      </c>
      <c r="D60" s="1" t="str">
        <f>IFNA(VLOOKUP(B60,Dictionary!A:B,2,FALSE),"")</f>
        <v>Avulso</v>
      </c>
    </row>
    <row r="61">
      <c r="A61" s="2" t="s">
        <v>49</v>
      </c>
      <c r="B61" s="6">
        <v>25.0</v>
      </c>
      <c r="C61" s="2" t="s">
        <v>9</v>
      </c>
      <c r="D61" s="1" t="str">
        <f>IFNA(VLOOKUP(B61,Dictionary!A:B,2,FALSE),"")</f>
        <v>Avulso</v>
      </c>
    </row>
    <row r="62">
      <c r="A62" s="2" t="s">
        <v>58</v>
      </c>
      <c r="B62" s="6">
        <v>25.0</v>
      </c>
      <c r="C62" s="2" t="s">
        <v>9</v>
      </c>
      <c r="D62" s="1" t="str">
        <f>IFNA(VLOOKUP(B62,Dictionary!A:B,2,FALSE),"")</f>
        <v>Avulso</v>
      </c>
    </row>
    <row r="63">
      <c r="A63" s="2" t="s">
        <v>40</v>
      </c>
      <c r="B63" s="6">
        <v>25.0</v>
      </c>
      <c r="C63" s="2" t="s">
        <v>9</v>
      </c>
      <c r="D63" s="1" t="str">
        <f>IFNA(VLOOKUP(B63,Dictionary!A:B,2,FALSE),"")</f>
        <v>Avulso</v>
      </c>
    </row>
    <row r="64">
      <c r="A64" s="2" t="s">
        <v>59</v>
      </c>
      <c r="B64" s="6">
        <v>-30.0</v>
      </c>
      <c r="C64" s="2" t="s">
        <v>9</v>
      </c>
      <c r="D64" s="1" t="str">
        <f>IFNA(VLOOKUP(B64,Dictionary!A:B,2,FALSE),"")</f>
        <v>Goleiro App (por fora)</v>
      </c>
    </row>
    <row r="65">
      <c r="A65" s="2" t="s">
        <v>59</v>
      </c>
      <c r="B65" s="6">
        <v>-30.0</v>
      </c>
      <c r="C65" s="2" t="s">
        <v>9</v>
      </c>
      <c r="D65" s="1" t="str">
        <f>IFNA(VLOOKUP(B65,Dictionary!A:B,2,FALSE),"")</f>
        <v>Goleiro App (por fora)</v>
      </c>
    </row>
    <row r="66">
      <c r="A66" s="2" t="s">
        <v>42</v>
      </c>
      <c r="B66" s="6">
        <v>-40.0</v>
      </c>
      <c r="C66" s="2" t="s">
        <v>9</v>
      </c>
      <c r="D66" s="1" t="str">
        <f>IFNA(VLOOKUP(B66,Dictionary!A:B,2,FALSE),"")</f>
        <v>Goleiro App</v>
      </c>
    </row>
    <row r="67">
      <c r="A67" s="2" t="s">
        <v>38</v>
      </c>
      <c r="B67" s="6">
        <v>25.0</v>
      </c>
      <c r="C67" s="2" t="s">
        <v>9</v>
      </c>
      <c r="D67" s="1" t="str">
        <f>IFNA(VLOOKUP(B67,Dictionary!A:B,2,FALSE),"")</f>
        <v>Avulso</v>
      </c>
    </row>
    <row r="68">
      <c r="A68" s="2" t="s">
        <v>34</v>
      </c>
      <c r="B68" s="6">
        <v>80.0</v>
      </c>
      <c r="C68" s="2" t="s">
        <v>11</v>
      </c>
      <c r="D68" s="1" t="str">
        <f>IFNA(VLOOKUP(B68,Dictionary!A:B,2,FALSE),"")</f>
        <v>Mensal</v>
      </c>
    </row>
    <row r="69">
      <c r="A69" s="2" t="s">
        <v>35</v>
      </c>
      <c r="B69" s="6">
        <v>80.0</v>
      </c>
      <c r="C69" s="2" t="s">
        <v>11</v>
      </c>
      <c r="D69" s="1" t="str">
        <f>IFNA(VLOOKUP(B69,Dictionary!A:B,2,FALSE),"")</f>
        <v>Mensal</v>
      </c>
    </row>
    <row r="70">
      <c r="A70" s="2" t="s">
        <v>60</v>
      </c>
      <c r="B70" s="6">
        <v>80.0</v>
      </c>
      <c r="C70" s="2" t="s">
        <v>11</v>
      </c>
      <c r="D70" s="1" t="str">
        <f>IFNA(VLOOKUP(B70,Dictionary!A:B,2,FALSE),"")</f>
        <v>Mensal</v>
      </c>
    </row>
    <row r="71">
      <c r="A71" s="2" t="s">
        <v>28</v>
      </c>
      <c r="B71" s="6">
        <v>80.0</v>
      </c>
      <c r="C71" s="2" t="s">
        <v>11</v>
      </c>
      <c r="D71" s="1" t="str">
        <f>IFNA(VLOOKUP(B71,Dictionary!A:B,2,FALSE),"")</f>
        <v>Mensal</v>
      </c>
    </row>
    <row r="72">
      <c r="A72" s="2" t="s">
        <v>41</v>
      </c>
      <c r="B72" s="6">
        <v>80.0</v>
      </c>
      <c r="C72" s="2" t="s">
        <v>11</v>
      </c>
      <c r="D72" s="1" t="str">
        <f>IFNA(VLOOKUP(B72,Dictionary!A:B,2,FALSE),"")</f>
        <v>Mensal</v>
      </c>
    </row>
    <row r="73">
      <c r="A73" s="2" t="s">
        <v>31</v>
      </c>
      <c r="B73" s="6">
        <v>80.0</v>
      </c>
      <c r="C73" s="2" t="s">
        <v>11</v>
      </c>
      <c r="D73" s="1" t="str">
        <f>IFNA(VLOOKUP(B73,Dictionary!A:B,2,FALSE),"")</f>
        <v>Mensal</v>
      </c>
    </row>
    <row r="74">
      <c r="A74" s="2" t="s">
        <v>61</v>
      </c>
      <c r="B74" s="6">
        <v>80.0</v>
      </c>
      <c r="C74" s="2" t="s">
        <v>11</v>
      </c>
      <c r="D74" s="1" t="str">
        <f>IFNA(VLOOKUP(B74,Dictionary!A:B,2,FALSE),"")</f>
        <v>Mensal</v>
      </c>
    </row>
    <row r="75">
      <c r="A75" s="2" t="s">
        <v>40</v>
      </c>
      <c r="B75" s="6">
        <v>25.0</v>
      </c>
      <c r="C75" s="2" t="s">
        <v>11</v>
      </c>
      <c r="D75" s="1" t="str">
        <f>IFNA(VLOOKUP(B75,Dictionary!A:B,2,FALSE),"")</f>
        <v>Avulso</v>
      </c>
    </row>
    <row r="76">
      <c r="A76" s="2" t="s">
        <v>44</v>
      </c>
      <c r="B76" s="6">
        <v>25.0</v>
      </c>
      <c r="C76" s="2" t="s">
        <v>11</v>
      </c>
      <c r="D76" s="1" t="str">
        <f>IFNA(VLOOKUP(B76,Dictionary!A:B,2,FALSE),"")</f>
        <v>Avulso</v>
      </c>
    </row>
    <row r="77">
      <c r="A77" s="2" t="s">
        <v>29</v>
      </c>
      <c r="B77" s="6">
        <v>25.0</v>
      </c>
      <c r="C77" s="2" t="s">
        <v>11</v>
      </c>
      <c r="D77" s="1" t="str">
        <f>IFNA(VLOOKUP(B77,Dictionary!A:B,2,FALSE),"")</f>
        <v>Avulso</v>
      </c>
    </row>
    <row r="78">
      <c r="A78" s="2" t="s">
        <v>43</v>
      </c>
      <c r="B78" s="6">
        <v>80.0</v>
      </c>
      <c r="C78" s="2" t="s">
        <v>11</v>
      </c>
      <c r="D78" s="1" t="str">
        <f>IFNA(VLOOKUP(B78,Dictionary!A:B,2,FALSE),"")</f>
        <v>Mensal</v>
      </c>
    </row>
    <row r="79">
      <c r="A79" s="2" t="s">
        <v>30</v>
      </c>
      <c r="B79" s="6">
        <v>80.0</v>
      </c>
      <c r="C79" s="2" t="s">
        <v>11</v>
      </c>
      <c r="D79" s="1" t="str">
        <f>IFNA(VLOOKUP(B79,Dictionary!A:B,2,FALSE),"")</f>
        <v>Mensal</v>
      </c>
    </row>
    <row r="80">
      <c r="A80" s="2" t="s">
        <v>39</v>
      </c>
      <c r="B80" s="6">
        <v>25.0</v>
      </c>
      <c r="C80" s="2" t="s">
        <v>11</v>
      </c>
      <c r="D80" s="1" t="str">
        <f>IFNA(VLOOKUP(B80,Dictionary!A:B,2,FALSE),"")</f>
        <v>Avulso</v>
      </c>
    </row>
    <row r="81">
      <c r="A81" s="2" t="s">
        <v>45</v>
      </c>
      <c r="B81" s="6">
        <v>25.0</v>
      </c>
      <c r="C81" s="2" t="s">
        <v>11</v>
      </c>
      <c r="D81" s="1" t="str">
        <f>IFNA(VLOOKUP(B81,Dictionary!A:B,2,FALSE),"")</f>
        <v>Avulso</v>
      </c>
    </row>
    <row r="82">
      <c r="A82" s="2" t="s">
        <v>56</v>
      </c>
      <c r="B82" s="6">
        <v>25.0</v>
      </c>
      <c r="C82" s="2" t="s">
        <v>11</v>
      </c>
      <c r="D82" s="1" t="str">
        <f>IFNA(VLOOKUP(B82,Dictionary!A:B,2,FALSE),"")</f>
        <v>Avulso</v>
      </c>
    </row>
    <row r="83">
      <c r="A83" s="2" t="s">
        <v>37</v>
      </c>
      <c r="B83" s="6">
        <v>25.0</v>
      </c>
      <c r="C83" s="2" t="s">
        <v>11</v>
      </c>
      <c r="D83" s="1" t="str">
        <f>IFNA(VLOOKUP(B83,Dictionary!A:B,2,FALSE),"")</f>
        <v>Avulso</v>
      </c>
    </row>
    <row r="84">
      <c r="A84" s="2" t="s">
        <v>40</v>
      </c>
      <c r="B84" s="3"/>
      <c r="C84" s="2" t="s">
        <v>11</v>
      </c>
      <c r="D84" s="1" t="str">
        <f>IFNA(VLOOKUP(B84,Dictionary!A:B,2,FALSE),"")</f>
        <v/>
      </c>
    </row>
    <row r="85">
      <c r="A85" s="2" t="s">
        <v>62</v>
      </c>
      <c r="B85" s="6">
        <v>25.0</v>
      </c>
      <c r="C85" s="2" t="s">
        <v>11</v>
      </c>
      <c r="D85" s="1" t="str">
        <f>IFNA(VLOOKUP(B85,Dictionary!A:B,2,FALSE),"")</f>
        <v>Avulso</v>
      </c>
    </row>
    <row r="86">
      <c r="A86" s="2" t="s">
        <v>53</v>
      </c>
      <c r="B86" s="6">
        <v>25.0</v>
      </c>
      <c r="C86" s="2" t="s">
        <v>11</v>
      </c>
      <c r="D86" s="1" t="str">
        <f>IFNA(VLOOKUP(B86,Dictionary!A:B,2,FALSE),"")</f>
        <v>Avulso</v>
      </c>
    </row>
    <row r="87">
      <c r="A87" s="2" t="s">
        <v>44</v>
      </c>
      <c r="B87" s="6">
        <v>25.0</v>
      </c>
      <c r="C87" s="2" t="s">
        <v>11</v>
      </c>
      <c r="D87" s="1" t="str">
        <f>IFNA(VLOOKUP(B87,Dictionary!A:B,2,FALSE),"")</f>
        <v>Avulso</v>
      </c>
    </row>
    <row r="88">
      <c r="A88" s="2" t="s">
        <v>29</v>
      </c>
      <c r="B88" s="6">
        <v>25.0</v>
      </c>
      <c r="C88" s="2" t="s">
        <v>11</v>
      </c>
      <c r="D88" s="1" t="str">
        <f>IFNA(VLOOKUP(B88,Dictionary!A:B,2,FALSE),"")</f>
        <v>Avulso</v>
      </c>
    </row>
    <row r="89">
      <c r="A89" s="2" t="s">
        <v>63</v>
      </c>
      <c r="B89" s="6">
        <v>25.0</v>
      </c>
      <c r="C89" s="2" t="s">
        <v>11</v>
      </c>
      <c r="D89" s="1" t="str">
        <f>IFNA(VLOOKUP(B89,Dictionary!A:B,2,FALSE),"")</f>
        <v>Avulso</v>
      </c>
    </row>
    <row r="90">
      <c r="A90" s="2" t="s">
        <v>37</v>
      </c>
      <c r="B90" s="6">
        <v>25.0</v>
      </c>
      <c r="C90" s="2" t="s">
        <v>11</v>
      </c>
      <c r="D90" s="1" t="str">
        <f>IFNA(VLOOKUP(B90,Dictionary!A:B,2,FALSE),"")</f>
        <v>Avulso</v>
      </c>
    </row>
    <row r="91">
      <c r="A91" s="2" t="s">
        <v>44</v>
      </c>
      <c r="B91" s="6">
        <v>25.0</v>
      </c>
      <c r="C91" s="2" t="s">
        <v>11</v>
      </c>
      <c r="D91" s="1" t="str">
        <f>IFNA(VLOOKUP(B91,Dictionary!A:B,2,FALSE),"")</f>
        <v>Avulso</v>
      </c>
    </row>
    <row r="92">
      <c r="A92" s="2" t="s">
        <v>64</v>
      </c>
      <c r="B92" s="6">
        <v>25.0</v>
      </c>
      <c r="C92" s="2" t="s">
        <v>11</v>
      </c>
      <c r="D92" s="1" t="str">
        <f>IFNA(VLOOKUP(B92,Dictionary!A:B,2,FALSE),"")</f>
        <v>Avulso</v>
      </c>
    </row>
    <row r="93">
      <c r="A93" s="2" t="s">
        <v>33</v>
      </c>
      <c r="B93" s="6">
        <v>25.0</v>
      </c>
      <c r="C93" s="2" t="s">
        <v>11</v>
      </c>
      <c r="D93" s="1" t="str">
        <f>IFNA(VLOOKUP(B93,Dictionary!A:B,2,FALSE),"")</f>
        <v>Avulso</v>
      </c>
    </row>
    <row r="94">
      <c r="A94" s="2" t="s">
        <v>29</v>
      </c>
      <c r="B94" s="6">
        <v>25.0</v>
      </c>
      <c r="C94" s="2" t="s">
        <v>11</v>
      </c>
      <c r="D94" s="1" t="str">
        <f>IFNA(VLOOKUP(B94,Dictionary!A:B,2,FALSE),"")</f>
        <v>Avulso</v>
      </c>
    </row>
    <row r="95">
      <c r="A95" s="2" t="s">
        <v>65</v>
      </c>
      <c r="B95" s="6">
        <v>25.0</v>
      </c>
      <c r="C95" s="2" t="s">
        <v>11</v>
      </c>
      <c r="D95" s="1" t="str">
        <f>IFNA(VLOOKUP(B95,Dictionary!A:B,2,FALSE),"")</f>
        <v>Avulso</v>
      </c>
    </row>
    <row r="96">
      <c r="A96" s="2" t="s">
        <v>66</v>
      </c>
      <c r="B96" s="6">
        <v>-40.0</v>
      </c>
      <c r="C96" s="2" t="s">
        <v>11</v>
      </c>
      <c r="D96" s="1" t="str">
        <f>IFNA(VLOOKUP(B96,Dictionary!A:B,2,FALSE),"")</f>
        <v>Goleiro App</v>
      </c>
    </row>
    <row r="97">
      <c r="A97" s="2" t="s">
        <v>66</v>
      </c>
      <c r="B97" s="6">
        <v>-40.0</v>
      </c>
      <c r="C97" s="2" t="s">
        <v>11</v>
      </c>
      <c r="D97" s="1" t="str">
        <f>IFNA(VLOOKUP(B97,Dictionary!A:B,2,FALSE),"")</f>
        <v>Goleiro App</v>
      </c>
    </row>
    <row r="98">
      <c r="A98" s="2" t="s">
        <v>66</v>
      </c>
      <c r="B98" s="6">
        <v>-40.0</v>
      </c>
      <c r="C98" s="2" t="s">
        <v>11</v>
      </c>
      <c r="D98" s="1" t="str">
        <f>IFNA(VLOOKUP(B98,Dictionary!A:B,2,FALSE),"")</f>
        <v>Goleiro App</v>
      </c>
    </row>
    <row r="99">
      <c r="A99" s="2" t="s">
        <v>32</v>
      </c>
      <c r="B99" s="6">
        <v>-960.0</v>
      </c>
      <c r="C99" s="2" t="s">
        <v>11</v>
      </c>
      <c r="D99" s="1" t="str">
        <f>IFNA(VLOOKUP(B99,Dictionary!A:B,2,FALSE),"")</f>
        <v>Quadra 2026 - 4 JOGOS</v>
      </c>
    </row>
    <row r="100">
      <c r="A100" s="2" t="s">
        <v>33</v>
      </c>
      <c r="B100" s="6">
        <v>25.0</v>
      </c>
      <c r="C100" s="2" t="s">
        <v>11</v>
      </c>
      <c r="D100" s="1" t="str">
        <f>IFNA(VLOOKUP(B100,Dictionary!A:B,2,FALSE),"")</f>
        <v>Avulso</v>
      </c>
    </row>
    <row r="101">
      <c r="A101" s="2" t="s">
        <v>67</v>
      </c>
      <c r="B101" s="6">
        <v>25.0</v>
      </c>
      <c r="C101" s="2" t="s">
        <v>11</v>
      </c>
      <c r="D101" s="1" t="str">
        <f>IFNA(VLOOKUP(B101,Dictionary!A:B,2,FALSE),"")</f>
        <v>Avulso</v>
      </c>
    </row>
    <row r="102">
      <c r="A102" s="2" t="s">
        <v>63</v>
      </c>
      <c r="B102" s="6">
        <v>25.0</v>
      </c>
      <c r="C102" s="2" t="s">
        <v>11</v>
      </c>
      <c r="D102" s="1" t="str">
        <f>IFNA(VLOOKUP(B102,Dictionary!A:B,2,FALSE),"")</f>
        <v>Avulso</v>
      </c>
    </row>
    <row r="103">
      <c r="A103" s="2" t="s">
        <v>40</v>
      </c>
      <c r="B103" s="6">
        <v>25.0</v>
      </c>
      <c r="C103" s="2" t="s">
        <v>11</v>
      </c>
      <c r="D103" s="1" t="str">
        <f>IFNA(VLOOKUP(B103,Dictionary!A:B,2,FALSE),"")</f>
        <v>Avulso</v>
      </c>
    </row>
    <row r="104">
      <c r="A104" s="2" t="s">
        <v>68</v>
      </c>
      <c r="B104" s="6">
        <v>25.0</v>
      </c>
      <c r="C104" s="2" t="s">
        <v>11</v>
      </c>
      <c r="D104" s="1" t="str">
        <f>IFNA(VLOOKUP(B104,Dictionary!A:B,2,FALSE),"")</f>
        <v>Avulso</v>
      </c>
    </row>
    <row r="105">
      <c r="A105" s="2" t="s">
        <v>62</v>
      </c>
      <c r="B105" s="6">
        <v>25.0</v>
      </c>
      <c r="C105" s="2" t="s">
        <v>11</v>
      </c>
      <c r="D105" s="1" t="str">
        <f>IFNA(VLOOKUP(B105,Dictionary!A:B,2,FALSE),"")</f>
        <v>Avulso</v>
      </c>
    </row>
    <row r="106">
      <c r="A106" s="2" t="s">
        <v>44</v>
      </c>
      <c r="B106" s="6">
        <v>25.0</v>
      </c>
      <c r="C106" s="2" t="s">
        <v>11</v>
      </c>
      <c r="D106" s="1" t="str">
        <f>IFNA(VLOOKUP(B106,Dictionary!A:B,2,FALSE),"")</f>
        <v>Avulso</v>
      </c>
    </row>
    <row r="107">
      <c r="A107" s="2" t="s">
        <v>38</v>
      </c>
      <c r="B107" s="3"/>
      <c r="C107" s="2" t="s">
        <v>11</v>
      </c>
      <c r="D107" s="1" t="str">
        <f>IFNA(VLOOKUP(B107,Dictionary!A:B,2,FALSE),"")</f>
        <v/>
      </c>
    </row>
    <row r="108">
      <c r="A108" s="2" t="s">
        <v>66</v>
      </c>
      <c r="B108" s="6">
        <v>-40.0</v>
      </c>
      <c r="C108" s="2" t="s">
        <v>11</v>
      </c>
      <c r="D108" s="1" t="str">
        <f>IFNA(VLOOKUP(B108,Dictionary!A:B,2,FALSE),"")</f>
        <v>Goleiro App</v>
      </c>
    </row>
    <row r="109">
      <c r="A109" s="2" t="s">
        <v>34</v>
      </c>
      <c r="B109" s="6">
        <v>80.0</v>
      </c>
      <c r="C109" s="2" t="s">
        <v>13</v>
      </c>
      <c r="D109" s="1" t="str">
        <f>IFNA(VLOOKUP(B109,Dictionary!A:B,2,FALSE),"")</f>
        <v>Mensal</v>
      </c>
    </row>
    <row r="110">
      <c r="A110" s="2" t="s">
        <v>28</v>
      </c>
      <c r="B110" s="6">
        <v>80.0</v>
      </c>
      <c r="C110" s="2" t="s">
        <v>13</v>
      </c>
      <c r="D110" s="1" t="str">
        <f>IFNA(VLOOKUP(B110,Dictionary!A:B,2,FALSE),"")</f>
        <v>Mensal</v>
      </c>
    </row>
    <row r="111">
      <c r="A111" s="2" t="s">
        <v>69</v>
      </c>
      <c r="B111" s="6">
        <v>25.0</v>
      </c>
      <c r="C111" s="2" t="s">
        <v>13</v>
      </c>
      <c r="D111" s="1" t="str">
        <f>IFNA(VLOOKUP(B111,Dictionary!A:B,2,FALSE),"")</f>
        <v>Avulso</v>
      </c>
    </row>
    <row r="112">
      <c r="A112" s="2" t="s">
        <v>70</v>
      </c>
      <c r="B112" s="6">
        <v>25.0</v>
      </c>
      <c r="C112" s="2" t="s">
        <v>13</v>
      </c>
      <c r="D112" s="1" t="str">
        <f>IFNA(VLOOKUP(B112,Dictionary!A:B,2,FALSE),"")</f>
        <v>Avulso</v>
      </c>
    </row>
    <row r="113">
      <c r="A113" s="2" t="s">
        <v>52</v>
      </c>
      <c r="B113" s="6">
        <v>25.0</v>
      </c>
      <c r="C113" s="2" t="s">
        <v>13</v>
      </c>
      <c r="D113" s="1" t="str">
        <f>IFNA(VLOOKUP(B113,Dictionary!A:B,2,FALSE),"")</f>
        <v>Avulso</v>
      </c>
    </row>
    <row r="114">
      <c r="A114" s="2" t="s">
        <v>29</v>
      </c>
      <c r="B114" s="6">
        <v>25.0</v>
      </c>
      <c r="C114" s="2" t="s">
        <v>13</v>
      </c>
      <c r="D114" s="1" t="str">
        <f>IFNA(VLOOKUP(B114,Dictionary!A:B,2,FALSE),"")</f>
        <v>Avulso</v>
      </c>
    </row>
    <row r="115">
      <c r="A115" s="2" t="s">
        <v>47</v>
      </c>
      <c r="B115" s="6">
        <v>25.0</v>
      </c>
      <c r="C115" s="2" t="s">
        <v>13</v>
      </c>
      <c r="D115" s="1" t="str">
        <f>IFNA(VLOOKUP(B115,Dictionary!A:B,2,FALSE),"")</f>
        <v>Avulso</v>
      </c>
    </row>
    <row r="116">
      <c r="A116" s="2" t="s">
        <v>32</v>
      </c>
      <c r="B116" s="6">
        <v>-960.0</v>
      </c>
      <c r="C116" s="2" t="s">
        <v>13</v>
      </c>
      <c r="D116" s="1" t="str">
        <f>IFNA(VLOOKUP(B116,Dictionary!A:B,2,FALSE),"")</f>
        <v>Quadra 2026 - 4 JOGOS</v>
      </c>
    </row>
    <row r="117">
      <c r="A117" s="2" t="s">
        <v>41</v>
      </c>
      <c r="B117" s="6">
        <v>80.0</v>
      </c>
      <c r="C117" s="2" t="s">
        <v>13</v>
      </c>
      <c r="D117" s="1" t="str">
        <f>IFNA(VLOOKUP(B117,Dictionary!A:B,2,FALSE),"")</f>
        <v>Mensal</v>
      </c>
    </row>
    <row r="118">
      <c r="A118" s="2" t="s">
        <v>42</v>
      </c>
      <c r="B118" s="6">
        <v>-40.0</v>
      </c>
      <c r="C118" s="2" t="s">
        <v>13</v>
      </c>
      <c r="D118" s="1" t="str">
        <f>IFNA(VLOOKUP(B118,Dictionary!A:B,2,FALSE),"")</f>
        <v>Goleiro App</v>
      </c>
    </row>
    <row r="119">
      <c r="A119" s="2" t="s">
        <v>40</v>
      </c>
      <c r="B119" s="6">
        <v>25.0</v>
      </c>
      <c r="C119" s="2" t="s">
        <v>13</v>
      </c>
      <c r="D119" s="1" t="str">
        <f>IFNA(VLOOKUP(B119,Dictionary!A:B,2,FALSE),"")</f>
        <v>Avulso</v>
      </c>
    </row>
    <row r="120">
      <c r="A120" s="2" t="s">
        <v>52</v>
      </c>
      <c r="B120" s="6">
        <v>25.0</v>
      </c>
      <c r="C120" s="2" t="s">
        <v>13</v>
      </c>
      <c r="D120" s="1" t="str">
        <f>IFNA(VLOOKUP(B120,Dictionary!A:B,2,FALSE),"")</f>
        <v>Avulso</v>
      </c>
    </row>
    <row r="121">
      <c r="A121" s="2" t="s">
        <v>29</v>
      </c>
      <c r="B121" s="6">
        <v>25.0</v>
      </c>
      <c r="C121" s="2" t="s">
        <v>13</v>
      </c>
      <c r="D121" s="1" t="str">
        <f>IFNA(VLOOKUP(B121,Dictionary!A:B,2,FALSE),"")</f>
        <v>Avulso</v>
      </c>
    </row>
    <row r="122">
      <c r="A122" s="2" t="s">
        <v>69</v>
      </c>
      <c r="B122" s="6">
        <v>25.0</v>
      </c>
      <c r="C122" s="2" t="s">
        <v>13</v>
      </c>
      <c r="D122" s="1" t="str">
        <f>IFNA(VLOOKUP(B122,Dictionary!A:B,2,FALSE),"")</f>
        <v>Avulso</v>
      </c>
    </row>
    <row r="123">
      <c r="A123" s="2" t="s">
        <v>50</v>
      </c>
      <c r="B123" s="6">
        <v>25.0</v>
      </c>
      <c r="C123" s="2" t="s">
        <v>13</v>
      </c>
      <c r="D123" s="1" t="str">
        <f>IFNA(VLOOKUP(B123,Dictionary!A:B,2,FALSE),"")</f>
        <v>Avulso</v>
      </c>
    </row>
    <row r="124">
      <c r="A124" s="2" t="s">
        <v>40</v>
      </c>
      <c r="B124" s="6">
        <v>25.0</v>
      </c>
      <c r="C124" s="2" t="s">
        <v>13</v>
      </c>
      <c r="D124" s="1" t="str">
        <f>IFNA(VLOOKUP(B124,Dictionary!A:B,2,FALSE),"")</f>
        <v>Avulso</v>
      </c>
    </row>
    <row r="125">
      <c r="A125" s="2" t="s">
        <v>37</v>
      </c>
      <c r="B125" s="6">
        <v>25.0</v>
      </c>
      <c r="C125" s="2" t="s">
        <v>13</v>
      </c>
      <c r="D125" s="1" t="str">
        <f>IFNA(VLOOKUP(B125,Dictionary!A:B,2,FALSE),"")</f>
        <v>Avulso</v>
      </c>
    </row>
    <row r="126">
      <c r="A126" s="2" t="s">
        <v>49</v>
      </c>
      <c r="B126" s="6">
        <v>80.0</v>
      </c>
      <c r="C126" s="2" t="s">
        <v>13</v>
      </c>
      <c r="D126" s="1" t="str">
        <f>IFNA(VLOOKUP(B126,Dictionary!A:B,2,FALSE),"")</f>
        <v>Mensal</v>
      </c>
    </row>
    <row r="127">
      <c r="A127" s="2" t="s">
        <v>59</v>
      </c>
      <c r="B127" s="6">
        <v>-30.0</v>
      </c>
      <c r="C127" s="2" t="s">
        <v>13</v>
      </c>
      <c r="D127" s="1" t="str">
        <f>IFNA(VLOOKUP(B127,Dictionary!A:B,2,FALSE),"")</f>
        <v>Goleiro App (por fora)</v>
      </c>
    </row>
    <row r="128">
      <c r="A128" s="2" t="s">
        <v>71</v>
      </c>
      <c r="B128" s="6">
        <v>25.0</v>
      </c>
      <c r="C128" s="2" t="s">
        <v>13</v>
      </c>
      <c r="D128" s="1" t="str">
        <f>IFNA(VLOOKUP(B128,Dictionary!A:B,2,FALSE),"")</f>
        <v>Avulso</v>
      </c>
    </row>
    <row r="129">
      <c r="A129" s="2" t="s">
        <v>38</v>
      </c>
      <c r="B129" s="6">
        <v>25.0</v>
      </c>
      <c r="C129" s="2" t="s">
        <v>13</v>
      </c>
      <c r="D129" s="1" t="str">
        <f>IFNA(VLOOKUP(B129,Dictionary!A:B,2,FALSE),"")</f>
        <v>Avulso</v>
      </c>
    </row>
    <row r="130">
      <c r="A130" s="2" t="s">
        <v>72</v>
      </c>
      <c r="B130" s="6">
        <v>25.0</v>
      </c>
      <c r="C130" s="2" t="s">
        <v>13</v>
      </c>
      <c r="D130" s="1" t="str">
        <f>IFNA(VLOOKUP(B130,Dictionary!A:B,2,FALSE),"")</f>
        <v>Avulso</v>
      </c>
    </row>
    <row r="131">
      <c r="A131" s="2" t="s">
        <v>50</v>
      </c>
      <c r="B131" s="6">
        <v>25.0</v>
      </c>
      <c r="C131" s="2" t="s">
        <v>13</v>
      </c>
      <c r="D131" s="1" t="str">
        <f>IFNA(VLOOKUP(B131,Dictionary!A:B,2,FALSE),"")</f>
        <v>Avulso</v>
      </c>
    </row>
    <row r="132">
      <c r="A132" s="2" t="s">
        <v>31</v>
      </c>
      <c r="B132" s="6">
        <v>25.0</v>
      </c>
      <c r="C132" s="2" t="s">
        <v>13</v>
      </c>
      <c r="D132" s="1" t="str">
        <f>IFNA(VLOOKUP(B132,Dictionary!A:B,2,FALSE),"")</f>
        <v>Avulso</v>
      </c>
    </row>
    <row r="133">
      <c r="A133" s="2" t="s">
        <v>29</v>
      </c>
      <c r="B133" s="6">
        <v>25.0</v>
      </c>
      <c r="C133" s="2" t="s">
        <v>13</v>
      </c>
      <c r="D133" s="1" t="str">
        <f>IFNA(VLOOKUP(B133,Dictionary!A:B,2,FALSE),"")</f>
        <v>Avulso</v>
      </c>
    </row>
    <row r="134">
      <c r="A134" s="2" t="s">
        <v>47</v>
      </c>
      <c r="B134" s="6">
        <v>25.0</v>
      </c>
      <c r="C134" s="2" t="s">
        <v>13</v>
      </c>
      <c r="D134" s="1" t="str">
        <f>IFNA(VLOOKUP(B134,Dictionary!A:B,2,FALSE),"")</f>
        <v>Avulso</v>
      </c>
    </row>
    <row r="135">
      <c r="A135" s="2" t="s">
        <v>73</v>
      </c>
      <c r="B135" s="6">
        <v>25.0</v>
      </c>
      <c r="C135" s="2" t="s">
        <v>13</v>
      </c>
      <c r="D135" s="1" t="str">
        <f>IFNA(VLOOKUP(B135,Dictionary!A:B,2,FALSE),"")</f>
        <v>Avulso</v>
      </c>
    </row>
    <row r="136">
      <c r="A136" s="2" t="s">
        <v>42</v>
      </c>
      <c r="B136" s="6">
        <v>-45.0</v>
      </c>
      <c r="C136" s="2" t="s">
        <v>13</v>
      </c>
      <c r="D136" s="1" t="str">
        <f>IFNA(VLOOKUP(B136,Dictionary!A:B,2,FALSE),"")</f>
        <v>Goleiro App</v>
      </c>
    </row>
    <row r="137">
      <c r="A137" s="2" t="s">
        <v>74</v>
      </c>
      <c r="B137" s="6">
        <v>-30.0</v>
      </c>
      <c r="C137" s="2" t="s">
        <v>13</v>
      </c>
      <c r="D137" s="1" t="str">
        <f>IFNA(VLOOKUP(B137,Dictionary!A:B,2,FALSE),"")</f>
        <v>Goleiro App (por fora)</v>
      </c>
    </row>
    <row r="138">
      <c r="A138" s="2" t="s">
        <v>45</v>
      </c>
      <c r="B138" s="6">
        <v>25.0</v>
      </c>
      <c r="C138" s="2" t="s">
        <v>13</v>
      </c>
      <c r="D138" s="1" t="str">
        <f>IFNA(VLOOKUP(B138,Dictionary!A:B,2,FALSE),"")</f>
        <v>Avulso</v>
      </c>
    </row>
    <row r="139">
      <c r="A139" s="2" t="s">
        <v>31</v>
      </c>
      <c r="B139" s="6">
        <v>25.0</v>
      </c>
      <c r="C139" s="2" t="s">
        <v>13</v>
      </c>
      <c r="D139" s="1" t="str">
        <f>IFNA(VLOOKUP(B139,Dictionary!A:B,2,FALSE),"")</f>
        <v>Avulso</v>
      </c>
    </row>
    <row r="140">
      <c r="A140" s="2" t="s">
        <v>75</v>
      </c>
      <c r="B140" s="6">
        <v>25.0</v>
      </c>
      <c r="C140" s="2" t="s">
        <v>13</v>
      </c>
      <c r="D140" s="1" t="str">
        <f>IFNA(VLOOKUP(B140,Dictionary!A:B,2,FALSE),"")</f>
        <v>Avulso</v>
      </c>
    </row>
    <row r="141">
      <c r="A141" s="2" t="s">
        <v>76</v>
      </c>
      <c r="B141" s="6">
        <v>25.0</v>
      </c>
      <c r="C141" s="2" t="s">
        <v>13</v>
      </c>
      <c r="D141" s="1" t="str">
        <f>IFNA(VLOOKUP(B141,Dictionary!A:B,2,FALSE),"")</f>
        <v>Avulso</v>
      </c>
    </row>
    <row r="142">
      <c r="A142" s="2" t="s">
        <v>32</v>
      </c>
      <c r="B142" s="6">
        <v>-1100.0</v>
      </c>
      <c r="C142" s="2" t="s">
        <v>15</v>
      </c>
      <c r="D142" s="1" t="str">
        <f>IFNA(VLOOKUP(B142,Dictionary!A:B,2,FALSE),"")</f>
        <v>Quadra 5 jogos</v>
      </c>
    </row>
    <row r="143">
      <c r="A143" s="2" t="s">
        <v>56</v>
      </c>
      <c r="B143" s="6">
        <v>80.0</v>
      </c>
      <c r="C143" s="2" t="s">
        <v>15</v>
      </c>
      <c r="D143" s="1" t="str">
        <f>IFNA(VLOOKUP(B143,Dictionary!A:B,2,FALSE),"")</f>
        <v>Mensal</v>
      </c>
    </row>
    <row r="144">
      <c r="B144" s="3"/>
      <c r="C144" s="2" t="s">
        <v>15</v>
      </c>
      <c r="D144" s="1" t="str">
        <f>IFNA(VLOOKUP(B144,Dictionary!A:B,2,FALSE),"")</f>
        <v/>
      </c>
    </row>
    <row r="145">
      <c r="B145" s="3"/>
      <c r="C145" s="2" t="s">
        <v>15</v>
      </c>
      <c r="D145" s="1" t="str">
        <f>IFNA(VLOOKUP(B145,Dictionary!A:B,2,FALSE),"")</f>
        <v/>
      </c>
    </row>
    <row r="146">
      <c r="B146" s="3"/>
      <c r="C146" s="2" t="s">
        <v>15</v>
      </c>
      <c r="D146" s="1" t="str">
        <f>IFNA(VLOOKUP(B146,Dictionary!A:B,2,FALSE),"")</f>
        <v/>
      </c>
    </row>
    <row r="147">
      <c r="B147" s="3"/>
      <c r="C147" s="2" t="s">
        <v>15</v>
      </c>
      <c r="D147" s="1" t="str">
        <f>IFNA(VLOOKUP(B147,Dictionary!A:B,2,FALSE),"")</f>
        <v/>
      </c>
    </row>
    <row r="148">
      <c r="B148" s="3"/>
      <c r="C148" s="2" t="s">
        <v>15</v>
      </c>
      <c r="D148" s="1" t="str">
        <f>IFNA(VLOOKUP(B148,Dictionary!A:B,2,FALSE),"")</f>
        <v/>
      </c>
    </row>
    <row r="149">
      <c r="B149" s="3"/>
      <c r="C149" s="2" t="s">
        <v>15</v>
      </c>
      <c r="D149" s="1" t="str">
        <f>IFNA(VLOOKUP(B149,Dictionary!A:B,2,FALSE),"")</f>
        <v/>
      </c>
    </row>
    <row r="150">
      <c r="B150" s="3"/>
      <c r="C150" s="2" t="s">
        <v>15</v>
      </c>
      <c r="D150" s="1" t="str">
        <f>IFNA(VLOOKUP(B150,Dictionary!A:B,2,FALSE),"")</f>
        <v/>
      </c>
    </row>
    <row r="151">
      <c r="B151" s="3"/>
      <c r="C151" s="2" t="s">
        <v>15</v>
      </c>
      <c r="D151" s="1" t="str">
        <f>IFNA(VLOOKUP(B151,Dictionary!A:B,2,FALSE),"")</f>
        <v/>
      </c>
    </row>
    <row r="152">
      <c r="B152" s="3"/>
      <c r="C152" s="2" t="s">
        <v>15</v>
      </c>
      <c r="D152" s="1" t="str">
        <f>IFNA(VLOOKUP(B152,Dictionary!A:B,2,FALSE),"")</f>
        <v/>
      </c>
    </row>
    <row r="153">
      <c r="B153" s="3"/>
      <c r="C153" s="2" t="s">
        <v>15</v>
      </c>
      <c r="D153" s="1" t="str">
        <f>IFNA(VLOOKUP(B153,Dictionary!A:B,2,FALSE),"")</f>
        <v/>
      </c>
    </row>
    <row r="154">
      <c r="B154" s="3"/>
      <c r="C154" s="2" t="s">
        <v>15</v>
      </c>
      <c r="D154" s="1" t="str">
        <f>IFNA(VLOOKUP(B154,Dictionary!A:B,2,FALSE),"")</f>
        <v/>
      </c>
    </row>
    <row r="155">
      <c r="B155" s="3"/>
      <c r="C155" s="2" t="s">
        <v>15</v>
      </c>
      <c r="D155" s="1" t="str">
        <f>IFNA(VLOOKUP(B155,Dictionary!A:B,2,FALSE),"")</f>
        <v/>
      </c>
    </row>
    <row r="156">
      <c r="B156" s="3"/>
      <c r="C156" s="2" t="s">
        <v>15</v>
      </c>
      <c r="D156" s="1" t="str">
        <f>IFNA(VLOOKUP(B156,Dictionary!A:B,2,FALSE),"")</f>
        <v/>
      </c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</sheetData>
  <dataValidations>
    <dataValidation type="list" allowBlank="1" showErrorMessage="1" sqref="C2:C156">
      <formula1>"11/24,12/24,01/25,02/25,03/25,04/25,05/25,06/25,07/25,08/25,09/25,10/25,11/25,12/25,01/26,02/26,03/26,04/26,05/26"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</cols>
  <sheetData>
    <row r="1">
      <c r="A1" s="4" t="s">
        <v>25</v>
      </c>
      <c r="B1" s="5" t="s">
        <v>26</v>
      </c>
      <c r="C1" s="2" t="s">
        <v>0</v>
      </c>
      <c r="D1" s="2" t="s">
        <v>27</v>
      </c>
      <c r="E1" s="2" t="s">
        <v>27</v>
      </c>
    </row>
    <row r="2" hidden="1">
      <c r="A2" s="2" t="s">
        <v>77</v>
      </c>
      <c r="B2" s="6">
        <v>60.0</v>
      </c>
      <c r="C2" s="2" t="s">
        <v>78</v>
      </c>
      <c r="D2" s="1" t="str">
        <f>VLOOKUP(B2,Dictionary!A:B,2,FALSE)</f>
        <v>Mensal</v>
      </c>
    </row>
    <row r="3" hidden="1">
      <c r="A3" s="2" t="s">
        <v>38</v>
      </c>
      <c r="B3" s="6">
        <v>60.0</v>
      </c>
      <c r="C3" s="2" t="s">
        <v>78</v>
      </c>
      <c r="D3" s="1" t="str">
        <f>VLOOKUP(B3,Dictionary!A:B,2,FALSE)</f>
        <v>Mensal</v>
      </c>
    </row>
    <row r="4" hidden="1">
      <c r="A4" s="2" t="s">
        <v>79</v>
      </c>
      <c r="B4" s="6">
        <v>25.0</v>
      </c>
      <c r="C4" s="2" t="s">
        <v>78</v>
      </c>
      <c r="D4" s="1" t="str">
        <f>VLOOKUP(B4,Dictionary!A:B,2,FALSE)</f>
        <v>Avulso</v>
      </c>
    </row>
    <row r="5" hidden="1">
      <c r="A5" s="2" t="s">
        <v>71</v>
      </c>
      <c r="B5" s="6">
        <v>60.0</v>
      </c>
      <c r="C5" s="2" t="s">
        <v>78</v>
      </c>
      <c r="D5" s="1" t="str">
        <f>VLOOKUP(B5,Dictionary!A:B,2,FALSE)</f>
        <v>Mensal</v>
      </c>
    </row>
    <row r="6" hidden="1">
      <c r="A6" s="2" t="s">
        <v>50</v>
      </c>
      <c r="B6" s="6">
        <v>25.0</v>
      </c>
      <c r="C6" s="2" t="s">
        <v>78</v>
      </c>
      <c r="D6" s="1" t="str">
        <f>VLOOKUP(B6,Dictionary!A:B,2,FALSE)</f>
        <v>Avulso</v>
      </c>
    </row>
    <row r="7" hidden="1">
      <c r="A7" s="2" t="s">
        <v>41</v>
      </c>
      <c r="B7" s="6">
        <v>25.0</v>
      </c>
      <c r="C7" s="2" t="s">
        <v>78</v>
      </c>
      <c r="D7" s="1" t="str">
        <f>VLOOKUP(B7,Dictionary!A:B,2,FALSE)</f>
        <v>Avulso</v>
      </c>
    </row>
    <row r="8" hidden="1">
      <c r="A8" s="2" t="s">
        <v>80</v>
      </c>
      <c r="B8" s="6">
        <v>60.0</v>
      </c>
      <c r="C8" s="2" t="s">
        <v>78</v>
      </c>
      <c r="D8" s="1" t="str">
        <f>VLOOKUP(B8,Dictionary!A:B,2,FALSE)</f>
        <v>Mensal</v>
      </c>
    </row>
    <row r="9" hidden="1">
      <c r="A9" s="2" t="s">
        <v>40</v>
      </c>
      <c r="B9" s="6">
        <v>25.0</v>
      </c>
      <c r="C9" s="2" t="s">
        <v>78</v>
      </c>
      <c r="D9" s="1" t="str">
        <f>VLOOKUP(B9,Dictionary!A:B,2,FALSE)</f>
        <v>Avulso</v>
      </c>
    </row>
    <row r="10" hidden="1">
      <c r="A10" s="2" t="s">
        <v>81</v>
      </c>
      <c r="B10" s="6">
        <v>60.0</v>
      </c>
      <c r="C10" s="2" t="s">
        <v>78</v>
      </c>
      <c r="D10" s="1" t="str">
        <f>VLOOKUP(B10,Dictionary!A:B,2,FALSE)</f>
        <v>Mensal</v>
      </c>
    </row>
    <row r="11" hidden="1">
      <c r="A11" s="2" t="s">
        <v>45</v>
      </c>
      <c r="B11" s="6">
        <v>60.0</v>
      </c>
      <c r="C11" s="2" t="s">
        <v>78</v>
      </c>
      <c r="D11" s="1" t="str">
        <f>VLOOKUP(B11,Dictionary!A:B,2,FALSE)</f>
        <v>Mensal</v>
      </c>
    </row>
    <row r="12" hidden="1">
      <c r="A12" s="2" t="s">
        <v>39</v>
      </c>
      <c r="B12" s="6">
        <v>60.0</v>
      </c>
      <c r="C12" s="2" t="s">
        <v>78</v>
      </c>
      <c r="D12" s="1" t="str">
        <f>VLOOKUP(B12,Dictionary!A:B,2,FALSE)</f>
        <v>Mensal</v>
      </c>
    </row>
    <row r="13" hidden="1">
      <c r="A13" s="2" t="s">
        <v>28</v>
      </c>
      <c r="B13" s="6">
        <v>60.0</v>
      </c>
      <c r="C13" s="2" t="s">
        <v>78</v>
      </c>
      <c r="D13" s="1" t="str">
        <f>VLOOKUP(B13,Dictionary!A:B,2,FALSE)</f>
        <v>Mensal</v>
      </c>
    </row>
    <row r="14" hidden="1">
      <c r="A14" s="2" t="s">
        <v>34</v>
      </c>
      <c r="B14" s="6">
        <v>60.0</v>
      </c>
      <c r="C14" s="2" t="s">
        <v>78</v>
      </c>
      <c r="D14" s="1" t="str">
        <f>VLOOKUP(B14,Dictionary!A:B,2,FALSE)</f>
        <v>Mensal</v>
      </c>
    </row>
    <row r="15" hidden="1">
      <c r="A15" s="2" t="s">
        <v>82</v>
      </c>
      <c r="B15" s="6">
        <v>-38.0</v>
      </c>
      <c r="C15" s="2" t="s">
        <v>78</v>
      </c>
      <c r="D15" s="1" t="str">
        <f>VLOOKUP(B15,Dictionary!A:B,2,FALSE)</f>
        <v>Goleiro App</v>
      </c>
    </row>
    <row r="16" hidden="1">
      <c r="A16" s="2" t="s">
        <v>32</v>
      </c>
      <c r="B16" s="6">
        <v>-920.0</v>
      </c>
      <c r="C16" s="2" t="s">
        <v>78</v>
      </c>
      <c r="D16" s="1" t="str">
        <f>VLOOKUP(B16,Dictionary!A:B,2,FALSE)</f>
        <v>Quadra 4 jogos</v>
      </c>
    </row>
    <row r="17" hidden="1">
      <c r="A17" s="2" t="s">
        <v>60</v>
      </c>
      <c r="B17" s="6">
        <v>60.0</v>
      </c>
      <c r="C17" s="2" t="s">
        <v>78</v>
      </c>
      <c r="D17" s="1" t="str">
        <f>VLOOKUP(B17,Dictionary!A:B,2,FALSE)</f>
        <v>Mensal</v>
      </c>
    </row>
    <row r="18" hidden="1">
      <c r="A18" s="2" t="s">
        <v>79</v>
      </c>
      <c r="B18" s="6">
        <v>25.0</v>
      </c>
      <c r="C18" s="2" t="s">
        <v>78</v>
      </c>
      <c r="D18" s="1" t="str">
        <f>VLOOKUP(B18,Dictionary!A:B,2,FALSE)</f>
        <v>Avulso</v>
      </c>
    </row>
    <row r="19" hidden="1">
      <c r="A19" s="2" t="s">
        <v>30</v>
      </c>
      <c r="B19" s="6">
        <v>60.0</v>
      </c>
      <c r="C19" s="2" t="s">
        <v>78</v>
      </c>
      <c r="D19" s="1" t="str">
        <f>VLOOKUP(B19,Dictionary!A:B,2,FALSE)</f>
        <v>Mensal</v>
      </c>
    </row>
    <row r="20" hidden="1">
      <c r="A20" s="2" t="s">
        <v>83</v>
      </c>
      <c r="B20" s="6">
        <v>25.0</v>
      </c>
      <c r="C20" s="2" t="s">
        <v>78</v>
      </c>
      <c r="D20" s="1" t="str">
        <f>VLOOKUP(B20,Dictionary!A:B,2,FALSE)</f>
        <v>Avulso</v>
      </c>
    </row>
    <row r="21" hidden="1">
      <c r="A21" s="2" t="s">
        <v>84</v>
      </c>
      <c r="B21" s="6">
        <v>25.0</v>
      </c>
      <c r="C21" s="2" t="s">
        <v>78</v>
      </c>
      <c r="D21" s="1" t="str">
        <f>VLOOKUP(B21,Dictionary!A:B,2,FALSE)</f>
        <v>Avulso</v>
      </c>
    </row>
    <row r="22" hidden="1">
      <c r="A22" s="2" t="s">
        <v>40</v>
      </c>
      <c r="B22" s="6">
        <v>25.0</v>
      </c>
      <c r="C22" s="2" t="s">
        <v>78</v>
      </c>
      <c r="D22" s="1" t="str">
        <f>VLOOKUP(B22,Dictionary!A:B,2,FALSE)</f>
        <v>Avulso</v>
      </c>
    </row>
    <row r="23" hidden="1">
      <c r="A23" s="2" t="s">
        <v>85</v>
      </c>
      <c r="B23" s="6">
        <v>60.0</v>
      </c>
      <c r="C23" s="2" t="s">
        <v>78</v>
      </c>
      <c r="D23" s="1" t="str">
        <f>VLOOKUP(B23,Dictionary!A:B,2,FALSE)</f>
        <v>Mensal</v>
      </c>
    </row>
    <row r="24" hidden="1">
      <c r="A24" s="2" t="s">
        <v>50</v>
      </c>
      <c r="B24" s="6">
        <v>25.0</v>
      </c>
      <c r="C24" s="2" t="s">
        <v>78</v>
      </c>
      <c r="D24" s="1" t="str">
        <f>VLOOKUP(B24,Dictionary!A:B,2,FALSE)</f>
        <v>Avulso</v>
      </c>
    </row>
    <row r="25" hidden="1">
      <c r="A25" s="2" t="s">
        <v>83</v>
      </c>
      <c r="B25" s="6">
        <v>25.0</v>
      </c>
      <c r="C25" s="2" t="s">
        <v>78</v>
      </c>
      <c r="D25" s="1" t="str">
        <f>VLOOKUP(B25,Dictionary!A:B,2,FALSE)</f>
        <v>Avulso</v>
      </c>
    </row>
    <row r="26" hidden="1">
      <c r="A26" s="2" t="s">
        <v>86</v>
      </c>
      <c r="B26" s="6">
        <v>25.0</v>
      </c>
      <c r="C26" s="2" t="s">
        <v>78</v>
      </c>
      <c r="D26" s="1" t="str">
        <f>VLOOKUP(B26,Dictionary!A:B,2,FALSE)</f>
        <v>Avulso</v>
      </c>
    </row>
    <row r="27" hidden="1">
      <c r="A27" s="2" t="s">
        <v>41</v>
      </c>
      <c r="B27" s="6">
        <v>25.0</v>
      </c>
      <c r="C27" s="2" t="s">
        <v>78</v>
      </c>
      <c r="D27" s="1" t="str">
        <f>VLOOKUP(B27,Dictionary!A:B,2,FALSE)</f>
        <v>Avulso</v>
      </c>
    </row>
    <row r="28" hidden="1">
      <c r="A28" s="2" t="s">
        <v>40</v>
      </c>
      <c r="B28" s="6">
        <v>25.0</v>
      </c>
      <c r="C28" s="2" t="s">
        <v>78</v>
      </c>
      <c r="D28" s="1" t="str">
        <f>VLOOKUP(B28,Dictionary!A:B,2,FALSE)</f>
        <v>Avulso</v>
      </c>
    </row>
    <row r="29" hidden="1">
      <c r="A29" s="2" t="s">
        <v>34</v>
      </c>
      <c r="B29" s="6">
        <v>75.0</v>
      </c>
      <c r="C29" s="2" t="s">
        <v>87</v>
      </c>
      <c r="D29" s="1" t="str">
        <f>VLOOKUP(B29,Dictionary!A:B,2,FALSE)</f>
        <v>Mensal</v>
      </c>
    </row>
    <row r="30" hidden="1">
      <c r="A30" s="2" t="s">
        <v>81</v>
      </c>
      <c r="B30" s="6">
        <v>75.0</v>
      </c>
      <c r="C30" s="2" t="s">
        <v>87</v>
      </c>
      <c r="D30" s="1" t="str">
        <f>VLOOKUP(B30,Dictionary!A:B,2,FALSE)</f>
        <v>Mensal</v>
      </c>
    </row>
    <row r="31" hidden="1">
      <c r="A31" s="2" t="s">
        <v>40</v>
      </c>
      <c r="B31" s="6">
        <v>50.0</v>
      </c>
      <c r="C31" s="2" t="s">
        <v>87</v>
      </c>
      <c r="D31" s="1" t="str">
        <f>VLOOKUP(B31,Dictionary!A:B,2,FALSE)</f>
        <v>#N/A</v>
      </c>
    </row>
    <row r="32" hidden="1">
      <c r="A32" s="2" t="s">
        <v>60</v>
      </c>
      <c r="B32" s="6">
        <v>75.0</v>
      </c>
      <c r="C32" s="2" t="s">
        <v>87</v>
      </c>
      <c r="D32" s="1" t="str">
        <f>VLOOKUP(B32,Dictionary!A:B,2,FALSE)</f>
        <v>Mensal</v>
      </c>
    </row>
    <row r="33" hidden="1">
      <c r="A33" s="2" t="s">
        <v>80</v>
      </c>
      <c r="B33" s="6">
        <v>75.0</v>
      </c>
      <c r="C33" s="2" t="s">
        <v>87</v>
      </c>
      <c r="D33" s="1" t="str">
        <f>VLOOKUP(B33,Dictionary!A:B,2,FALSE)</f>
        <v>Mensal</v>
      </c>
    </row>
    <row r="34" hidden="1">
      <c r="A34" s="2" t="s">
        <v>31</v>
      </c>
      <c r="B34" s="6">
        <v>75.0</v>
      </c>
      <c r="C34" s="2" t="s">
        <v>87</v>
      </c>
      <c r="D34" s="1" t="str">
        <f>VLOOKUP(B34,Dictionary!A:B,2,FALSE)</f>
        <v>Mensal</v>
      </c>
    </row>
    <row r="35" hidden="1">
      <c r="A35" s="2" t="s">
        <v>28</v>
      </c>
      <c r="B35" s="6">
        <v>75.0</v>
      </c>
      <c r="C35" s="2" t="s">
        <v>87</v>
      </c>
      <c r="D35" s="1" t="str">
        <f>VLOOKUP(B35,Dictionary!A:B,2,FALSE)</f>
        <v>Mensal</v>
      </c>
    </row>
    <row r="36" hidden="1">
      <c r="A36" s="2" t="s">
        <v>77</v>
      </c>
      <c r="B36" s="6">
        <v>75.0</v>
      </c>
      <c r="C36" s="2" t="s">
        <v>87</v>
      </c>
      <c r="D36" s="1" t="str">
        <f>VLOOKUP(B36,Dictionary!A:B,2,FALSE)</f>
        <v>Mensal</v>
      </c>
    </row>
    <row r="37" hidden="1">
      <c r="A37" s="2" t="s">
        <v>30</v>
      </c>
      <c r="B37" s="6">
        <v>75.0</v>
      </c>
      <c r="C37" s="2" t="s">
        <v>87</v>
      </c>
      <c r="D37" s="1" t="str">
        <f>VLOOKUP(B37,Dictionary!A:B,2,FALSE)</f>
        <v>Mensal</v>
      </c>
    </row>
    <row r="38" hidden="1">
      <c r="A38" s="2" t="s">
        <v>32</v>
      </c>
      <c r="B38" s="6">
        <v>-920.0</v>
      </c>
      <c r="C38" s="2" t="s">
        <v>87</v>
      </c>
      <c r="D38" s="1" t="str">
        <f>VLOOKUP(B38,Dictionary!A:B,2,FALSE)</f>
        <v>Quadra 4 jogos</v>
      </c>
    </row>
    <row r="39" hidden="1">
      <c r="A39" s="2" t="s">
        <v>39</v>
      </c>
      <c r="B39" s="6">
        <v>75.0</v>
      </c>
      <c r="C39" s="2" t="s">
        <v>87</v>
      </c>
      <c r="D39" s="1" t="str">
        <f>VLOOKUP(B39,Dictionary!A:B,2,FALSE)</f>
        <v>Mensal</v>
      </c>
    </row>
    <row r="40" hidden="1">
      <c r="A40" s="2" t="s">
        <v>37</v>
      </c>
      <c r="B40" s="6">
        <v>75.0</v>
      </c>
      <c r="C40" s="2" t="s">
        <v>87</v>
      </c>
      <c r="D40" s="1" t="str">
        <f>VLOOKUP(B40,Dictionary!A:B,2,FALSE)</f>
        <v>Mensal</v>
      </c>
    </row>
    <row r="41" hidden="1">
      <c r="A41" s="2" t="s">
        <v>79</v>
      </c>
      <c r="B41" s="6">
        <v>25.0</v>
      </c>
      <c r="C41" s="2" t="s">
        <v>87</v>
      </c>
      <c r="D41" s="1" t="str">
        <f>VLOOKUP(B41,Dictionary!A:B,2,FALSE)</f>
        <v>Avulso</v>
      </c>
    </row>
    <row r="42" hidden="1">
      <c r="A42" s="2" t="s">
        <v>88</v>
      </c>
      <c r="B42" s="6">
        <v>75.0</v>
      </c>
      <c r="C42" s="2" t="s">
        <v>87</v>
      </c>
      <c r="D42" s="1" t="str">
        <f>VLOOKUP(B42,Dictionary!A:B,2,FALSE)</f>
        <v>Mensal</v>
      </c>
    </row>
    <row r="43" hidden="1">
      <c r="A43" s="2" t="s">
        <v>36</v>
      </c>
      <c r="B43" s="6">
        <v>25.0</v>
      </c>
      <c r="C43" s="2" t="s">
        <v>87</v>
      </c>
      <c r="D43" s="1" t="str">
        <f>VLOOKUP(B43,Dictionary!A:B,2,FALSE)</f>
        <v>Avulso</v>
      </c>
    </row>
    <row r="44" hidden="1">
      <c r="A44" s="2" t="s">
        <v>41</v>
      </c>
      <c r="B44" s="6">
        <v>25.0</v>
      </c>
      <c r="C44" s="2" t="s">
        <v>87</v>
      </c>
      <c r="D44" s="1" t="str">
        <f>VLOOKUP(B44,Dictionary!A:B,2,FALSE)</f>
        <v>Avulso</v>
      </c>
    </row>
    <row r="45" hidden="1">
      <c r="A45" s="2" t="s">
        <v>85</v>
      </c>
      <c r="B45" s="6">
        <v>75.0</v>
      </c>
      <c r="C45" s="2" t="s">
        <v>87</v>
      </c>
      <c r="D45" s="1" t="str">
        <f>VLOOKUP(B45,Dictionary!A:B,2,FALSE)</f>
        <v>Mensal</v>
      </c>
    </row>
    <row r="46" hidden="1">
      <c r="A46" s="2" t="s">
        <v>54</v>
      </c>
      <c r="B46" s="6">
        <v>25.0</v>
      </c>
      <c r="C46" s="2" t="s">
        <v>87</v>
      </c>
      <c r="D46" s="1" t="str">
        <f>VLOOKUP(B46,Dictionary!A:B,2,FALSE)</f>
        <v>Avulso</v>
      </c>
    </row>
    <row r="47" hidden="1">
      <c r="A47" s="2" t="s">
        <v>82</v>
      </c>
      <c r="B47" s="6">
        <v>-40.0</v>
      </c>
      <c r="C47" s="2" t="s">
        <v>87</v>
      </c>
      <c r="D47" s="1" t="str">
        <f>VLOOKUP(B47,Dictionary!A:B,2,FALSE)</f>
        <v>Goleiro App</v>
      </c>
    </row>
    <row r="48" hidden="1">
      <c r="A48" s="2" t="s">
        <v>89</v>
      </c>
      <c r="B48" s="6">
        <v>25.0</v>
      </c>
      <c r="C48" s="2" t="s">
        <v>87</v>
      </c>
      <c r="D48" s="1" t="str">
        <f>VLOOKUP(B48,Dictionary!A:B,2,FALSE)</f>
        <v>Avulso</v>
      </c>
    </row>
    <row r="49" hidden="1">
      <c r="A49" s="2" t="s">
        <v>41</v>
      </c>
      <c r="B49" s="6">
        <v>25.0</v>
      </c>
      <c r="C49" s="2" t="s">
        <v>87</v>
      </c>
      <c r="D49" s="1" t="str">
        <f>VLOOKUP(B49,Dictionary!A:B,2,FALSE)</f>
        <v>Avulso</v>
      </c>
    </row>
    <row r="50" hidden="1">
      <c r="A50" s="2" t="s">
        <v>38</v>
      </c>
      <c r="B50" s="6">
        <v>25.0</v>
      </c>
      <c r="C50" s="2" t="s">
        <v>87</v>
      </c>
      <c r="D50" s="1" t="str">
        <f>VLOOKUP(B50,Dictionary!A:B,2,FALSE)</f>
        <v>Avulso</v>
      </c>
    </row>
    <row r="51" hidden="1">
      <c r="A51" s="2" t="s">
        <v>90</v>
      </c>
      <c r="B51" s="6">
        <v>25.0</v>
      </c>
      <c r="C51" s="2" t="s">
        <v>87</v>
      </c>
      <c r="D51" s="1" t="str">
        <f>VLOOKUP(B51,Dictionary!A:B,2,FALSE)</f>
        <v>Avulso</v>
      </c>
    </row>
    <row r="52" hidden="1">
      <c r="A52" s="2" t="s">
        <v>50</v>
      </c>
      <c r="B52" s="6">
        <v>25.0</v>
      </c>
      <c r="C52" s="2" t="s">
        <v>87</v>
      </c>
      <c r="D52" s="1" t="str">
        <f>VLOOKUP(B52,Dictionary!A:B,2,FALSE)</f>
        <v>Avulso</v>
      </c>
    </row>
    <row r="53" hidden="1">
      <c r="A53" s="2" t="s">
        <v>35</v>
      </c>
      <c r="B53" s="6">
        <v>50.0</v>
      </c>
      <c r="C53" s="2" t="s">
        <v>91</v>
      </c>
      <c r="D53" s="1" t="str">
        <f>VLOOKUP(B53,Dictionary!A:B,2,FALSE)</f>
        <v>#N/A</v>
      </c>
    </row>
    <row r="54" hidden="1">
      <c r="A54" s="2" t="s">
        <v>36</v>
      </c>
      <c r="B54" s="6">
        <v>50.0</v>
      </c>
      <c r="C54" s="2" t="s">
        <v>91</v>
      </c>
      <c r="D54" s="1" t="str">
        <f>VLOOKUP(B54,Dictionary!A:B,2,FALSE)</f>
        <v>#N/A</v>
      </c>
    </row>
    <row r="55" hidden="1">
      <c r="A55" s="2" t="s">
        <v>34</v>
      </c>
      <c r="B55" s="6">
        <v>50.0</v>
      </c>
      <c r="C55" s="2" t="s">
        <v>91</v>
      </c>
      <c r="D55" s="1" t="str">
        <f>VLOOKUP(B55,Dictionary!A:B,2,FALSE)</f>
        <v>#N/A</v>
      </c>
    </row>
    <row r="56" hidden="1">
      <c r="A56" s="2" t="s">
        <v>92</v>
      </c>
      <c r="B56" s="6">
        <v>50.0</v>
      </c>
      <c r="C56" s="2" t="s">
        <v>91</v>
      </c>
      <c r="D56" s="1" t="str">
        <f>VLOOKUP(B56,Dictionary!A:B,2,FALSE)</f>
        <v>#N/A</v>
      </c>
    </row>
    <row r="57" hidden="1">
      <c r="A57" s="2" t="s">
        <v>30</v>
      </c>
      <c r="B57" s="6">
        <v>50.0</v>
      </c>
      <c r="C57" s="2" t="s">
        <v>91</v>
      </c>
      <c r="D57" s="1" t="str">
        <f>VLOOKUP(B57,Dictionary!A:B,2,FALSE)</f>
        <v>#N/A</v>
      </c>
    </row>
    <row r="58" hidden="1">
      <c r="A58" s="2" t="s">
        <v>46</v>
      </c>
      <c r="B58" s="6">
        <v>50.0</v>
      </c>
      <c r="C58" s="2" t="s">
        <v>91</v>
      </c>
      <c r="D58" s="1" t="str">
        <f>VLOOKUP(B58,Dictionary!A:B,2,FALSE)</f>
        <v>#N/A</v>
      </c>
    </row>
    <row r="59" hidden="1">
      <c r="A59" s="2" t="s">
        <v>43</v>
      </c>
      <c r="B59" s="6">
        <v>50.0</v>
      </c>
      <c r="C59" s="2" t="s">
        <v>91</v>
      </c>
      <c r="D59" s="1" t="str">
        <f>VLOOKUP(B59,Dictionary!A:B,2,FALSE)</f>
        <v>#N/A</v>
      </c>
    </row>
    <row r="60" hidden="1">
      <c r="A60" s="2" t="s">
        <v>38</v>
      </c>
      <c r="B60" s="6">
        <v>50.0</v>
      </c>
      <c r="C60" s="2" t="s">
        <v>91</v>
      </c>
      <c r="D60" s="1" t="str">
        <f>VLOOKUP(B60,Dictionary!A:B,2,FALSE)</f>
        <v>#N/A</v>
      </c>
    </row>
    <row r="61" hidden="1">
      <c r="A61" s="2" t="s">
        <v>50</v>
      </c>
      <c r="B61" s="6">
        <v>50.0</v>
      </c>
      <c r="C61" s="2" t="s">
        <v>91</v>
      </c>
      <c r="D61" s="1" t="str">
        <f>VLOOKUP(B61,Dictionary!A:B,2,FALSE)</f>
        <v>#N/A</v>
      </c>
    </row>
    <row r="62" hidden="1">
      <c r="A62" s="2" t="s">
        <v>28</v>
      </c>
      <c r="B62" s="6">
        <v>50.0</v>
      </c>
      <c r="C62" s="2" t="s">
        <v>91</v>
      </c>
      <c r="D62" s="1" t="str">
        <f>VLOOKUP(B62,Dictionary!A:B,2,FALSE)</f>
        <v>#N/A</v>
      </c>
    </row>
    <row r="63" hidden="1">
      <c r="A63" s="2" t="s">
        <v>80</v>
      </c>
      <c r="B63" s="6">
        <v>50.0</v>
      </c>
      <c r="C63" s="2" t="s">
        <v>91</v>
      </c>
      <c r="D63" s="1" t="str">
        <f>VLOOKUP(B63,Dictionary!A:B,2,FALSE)</f>
        <v>#N/A</v>
      </c>
    </row>
    <row r="64" hidden="1">
      <c r="A64" s="2" t="s">
        <v>32</v>
      </c>
      <c r="B64" s="6">
        <v>-690.0</v>
      </c>
      <c r="C64" s="2" t="s">
        <v>91</v>
      </c>
      <c r="D64" s="1" t="str">
        <f>VLOOKUP(B64,Dictionary!A:B,2,FALSE)</f>
        <v>Quadra 3 jogos</v>
      </c>
      <c r="F64" s="2" t="s">
        <v>93</v>
      </c>
    </row>
    <row r="65" hidden="1">
      <c r="A65" s="2" t="s">
        <v>94</v>
      </c>
      <c r="B65" s="6">
        <v>-240.0</v>
      </c>
      <c r="C65" s="2" t="s">
        <v>91</v>
      </c>
      <c r="D65" s="1" t="str">
        <f>VLOOKUP(B65,Dictionary!A:B,2,FALSE)</f>
        <v>Quadra 2026</v>
      </c>
    </row>
    <row r="66" hidden="1">
      <c r="A66" s="2" t="s">
        <v>37</v>
      </c>
      <c r="B66" s="6">
        <v>50.0</v>
      </c>
      <c r="C66" s="2" t="s">
        <v>91</v>
      </c>
      <c r="D66" s="1" t="str">
        <f>VLOOKUP(B66,Dictionary!A:B,2,FALSE)</f>
        <v>#N/A</v>
      </c>
    </row>
    <row r="67" hidden="1">
      <c r="A67" s="2" t="s">
        <v>31</v>
      </c>
      <c r="B67" s="6">
        <v>50.0</v>
      </c>
      <c r="C67" s="2" t="s">
        <v>91</v>
      </c>
      <c r="D67" s="1" t="str">
        <f>VLOOKUP(B67,Dictionary!A:B,2,FALSE)</f>
        <v>#N/A</v>
      </c>
    </row>
    <row r="68" hidden="1">
      <c r="A68" s="2" t="s">
        <v>60</v>
      </c>
      <c r="B68" s="6">
        <v>50.0</v>
      </c>
      <c r="C68" s="2" t="s">
        <v>91</v>
      </c>
      <c r="D68" s="1" t="str">
        <f>VLOOKUP(B68,Dictionary!A:B,2,FALSE)</f>
        <v>#N/A</v>
      </c>
    </row>
    <row r="69" hidden="1">
      <c r="A69" s="2" t="s">
        <v>39</v>
      </c>
      <c r="B69" s="6">
        <v>50.0</v>
      </c>
      <c r="C69" s="2" t="s">
        <v>91</v>
      </c>
      <c r="D69" s="1" t="str">
        <f>VLOOKUP(B69,Dictionary!A:B,2,FALSE)</f>
        <v>#N/A</v>
      </c>
    </row>
    <row r="70" hidden="1">
      <c r="A70" s="2" t="s">
        <v>77</v>
      </c>
      <c r="B70" s="6">
        <v>50.0</v>
      </c>
      <c r="C70" s="2" t="s">
        <v>91</v>
      </c>
      <c r="D70" s="1" t="str">
        <f>VLOOKUP(B70,Dictionary!A:B,2,FALSE)</f>
        <v>#N/A</v>
      </c>
    </row>
    <row r="71" hidden="1">
      <c r="A71" s="2" t="s">
        <v>82</v>
      </c>
      <c r="B71" s="6">
        <v>-33.0</v>
      </c>
      <c r="C71" s="2" t="s">
        <v>91</v>
      </c>
      <c r="D71" s="1" t="str">
        <f>VLOOKUP(B71,Dictionary!A:B,2,FALSE)</f>
        <v>#N/A</v>
      </c>
    </row>
    <row r="72" hidden="1">
      <c r="A72" s="2" t="s">
        <v>95</v>
      </c>
      <c r="B72" s="6">
        <v>-35.0</v>
      </c>
      <c r="C72" s="2" t="s">
        <v>91</v>
      </c>
      <c r="D72" s="1" t="str">
        <f>VLOOKUP(B72,Dictionary!A:B,2,FALSE)</f>
        <v>#N/A</v>
      </c>
    </row>
    <row r="73" hidden="1">
      <c r="A73" s="2" t="s">
        <v>82</v>
      </c>
      <c r="B73" s="6">
        <v>-40.0</v>
      </c>
      <c r="C73" s="2" t="s">
        <v>91</v>
      </c>
      <c r="D73" s="1" t="str">
        <f>VLOOKUP(B73,Dictionary!A:B,2,FALSE)</f>
        <v>Goleiro App</v>
      </c>
    </row>
    <row r="74" hidden="1">
      <c r="A74" s="2" t="s">
        <v>34</v>
      </c>
      <c r="B74" s="6">
        <v>75.0</v>
      </c>
      <c r="C74" s="2" t="s">
        <v>96</v>
      </c>
      <c r="D74" s="1" t="str">
        <f>VLOOKUP(B74,Dictionary!A:B,2,FALSE)</f>
        <v>Mensal</v>
      </c>
    </row>
    <row r="75" hidden="1">
      <c r="A75" s="2" t="s">
        <v>35</v>
      </c>
      <c r="B75" s="6">
        <v>75.0</v>
      </c>
      <c r="C75" s="2" t="s">
        <v>96</v>
      </c>
      <c r="D75" s="1" t="str">
        <f>VLOOKUP(B75,Dictionary!A:B,2,FALSE)</f>
        <v>Mensal</v>
      </c>
    </row>
    <row r="76" hidden="1">
      <c r="A76" s="2" t="s">
        <v>38</v>
      </c>
      <c r="B76" s="6">
        <v>75.0</v>
      </c>
      <c r="C76" s="2" t="s">
        <v>96</v>
      </c>
      <c r="D76" s="1" t="str">
        <f>VLOOKUP(B76,Dictionary!A:B,2,FALSE)</f>
        <v>Mensal</v>
      </c>
    </row>
    <row r="77" hidden="1">
      <c r="A77" s="2" t="s">
        <v>47</v>
      </c>
      <c r="B77" s="6">
        <v>25.0</v>
      </c>
      <c r="C77" s="2" t="s">
        <v>96</v>
      </c>
      <c r="D77" s="1" t="str">
        <f>VLOOKUP(B77,Dictionary!A:B,2,FALSE)</f>
        <v>Avulso</v>
      </c>
    </row>
    <row r="78" hidden="1">
      <c r="A78" s="2" t="s">
        <v>64</v>
      </c>
      <c r="B78" s="6">
        <v>20.0</v>
      </c>
      <c r="C78" s="2" t="s">
        <v>96</v>
      </c>
      <c r="D78" s="1" t="str">
        <f>VLOOKUP(B78,Dictionary!A:B,2,FALSE)</f>
        <v>Avulso antigo</v>
      </c>
    </row>
    <row r="79" hidden="1">
      <c r="A79" s="2" t="s">
        <v>97</v>
      </c>
      <c r="B79" s="6">
        <v>25.0</v>
      </c>
      <c r="C79" s="2" t="s">
        <v>96</v>
      </c>
      <c r="D79" s="1" t="str">
        <f>VLOOKUP(B79,Dictionary!A:B,2,FALSE)</f>
        <v>Avulso</v>
      </c>
    </row>
    <row r="80" hidden="1">
      <c r="A80" s="2" t="s">
        <v>39</v>
      </c>
      <c r="B80" s="6">
        <v>75.0</v>
      </c>
      <c r="C80" s="2" t="s">
        <v>96</v>
      </c>
      <c r="D80" s="1" t="str">
        <f>VLOOKUP(B80,Dictionary!A:B,2,FALSE)</f>
        <v>Mensal</v>
      </c>
    </row>
    <row r="81" hidden="1">
      <c r="A81" s="2" t="s">
        <v>46</v>
      </c>
      <c r="B81" s="6">
        <v>75.0</v>
      </c>
      <c r="C81" s="2" t="s">
        <v>96</v>
      </c>
      <c r="D81" s="1" t="str">
        <f>VLOOKUP(B81,Dictionary!A:B,2,FALSE)</f>
        <v>Mensal</v>
      </c>
    </row>
    <row r="82" hidden="1">
      <c r="A82" s="2" t="s">
        <v>48</v>
      </c>
      <c r="B82" s="6">
        <v>75.0</v>
      </c>
      <c r="C82" s="2" t="s">
        <v>96</v>
      </c>
      <c r="D82" s="1" t="str">
        <f>VLOOKUP(B82,Dictionary!A:B,2,FALSE)</f>
        <v>Mensal</v>
      </c>
    </row>
    <row r="83" hidden="1">
      <c r="A83" s="2" t="s">
        <v>31</v>
      </c>
      <c r="B83" s="6">
        <v>75.0</v>
      </c>
      <c r="C83" s="2" t="s">
        <v>96</v>
      </c>
      <c r="D83" s="1" t="str">
        <f>VLOOKUP(B83,Dictionary!A:B,2,FALSE)</f>
        <v>Mensal</v>
      </c>
    </row>
    <row r="84" hidden="1">
      <c r="A84" s="2" t="s">
        <v>80</v>
      </c>
      <c r="B84" s="6">
        <v>75.0</v>
      </c>
      <c r="C84" s="2" t="s">
        <v>96</v>
      </c>
      <c r="D84" s="1" t="str">
        <f>VLOOKUP(B84,Dictionary!A:B,2,FALSE)</f>
        <v>Mensal</v>
      </c>
    </row>
    <row r="85" hidden="1">
      <c r="A85" s="2" t="s">
        <v>32</v>
      </c>
      <c r="B85" s="6">
        <v>-1100.0</v>
      </c>
      <c r="C85" s="2" t="s">
        <v>96</v>
      </c>
      <c r="D85" s="1" t="str">
        <f>VLOOKUP(B85,Dictionary!A:B,2,FALSE)</f>
        <v>Quadra 5 jogos</v>
      </c>
    </row>
    <row r="86" hidden="1">
      <c r="A86" s="2" t="s">
        <v>50</v>
      </c>
      <c r="B86" s="6">
        <v>75.0</v>
      </c>
      <c r="C86" s="2" t="s">
        <v>96</v>
      </c>
      <c r="D86" s="1" t="str">
        <f>VLOOKUP(B86,Dictionary!A:B,2,FALSE)</f>
        <v>Mensal</v>
      </c>
    </row>
    <row r="87" hidden="1">
      <c r="A87" s="2" t="s">
        <v>92</v>
      </c>
      <c r="B87" s="6">
        <v>25.0</v>
      </c>
      <c r="C87" s="2" t="s">
        <v>96</v>
      </c>
      <c r="D87" s="1" t="str">
        <f>VLOOKUP(B87,Dictionary!A:B,2,FALSE)</f>
        <v>Avulso</v>
      </c>
    </row>
    <row r="88" hidden="1">
      <c r="A88" s="2" t="s">
        <v>98</v>
      </c>
      <c r="B88" s="6">
        <v>25.0</v>
      </c>
      <c r="C88" s="2" t="s">
        <v>96</v>
      </c>
      <c r="D88" s="1" t="str">
        <f>VLOOKUP(B88,Dictionary!A:B,2,FALSE)</f>
        <v>Avulso</v>
      </c>
    </row>
    <row r="89" hidden="1">
      <c r="A89" s="2" t="s">
        <v>47</v>
      </c>
      <c r="B89" s="6">
        <v>25.0</v>
      </c>
      <c r="C89" s="2" t="s">
        <v>96</v>
      </c>
      <c r="D89" s="1" t="str">
        <f>VLOOKUP(B89,Dictionary!A:B,2,FALSE)</f>
        <v>Avulso</v>
      </c>
    </row>
    <row r="90" hidden="1">
      <c r="A90" s="2" t="s">
        <v>43</v>
      </c>
      <c r="B90" s="6">
        <v>75.0</v>
      </c>
      <c r="C90" s="2" t="s">
        <v>96</v>
      </c>
      <c r="D90" s="1" t="str">
        <f>VLOOKUP(B90,Dictionary!A:B,2,FALSE)</f>
        <v>Mensal</v>
      </c>
    </row>
    <row r="91" hidden="1">
      <c r="A91" s="2" t="s">
        <v>99</v>
      </c>
      <c r="B91" s="6">
        <v>25.0</v>
      </c>
      <c r="C91" s="2" t="s">
        <v>96</v>
      </c>
      <c r="D91" s="1" t="str">
        <f>VLOOKUP(B91,Dictionary!A:B,2,FALSE)</f>
        <v>Avulso</v>
      </c>
    </row>
    <row r="92" hidden="1">
      <c r="A92" s="2" t="s">
        <v>77</v>
      </c>
      <c r="B92" s="6">
        <v>25.0</v>
      </c>
      <c r="C92" s="2" t="s">
        <v>96</v>
      </c>
      <c r="D92" s="1" t="str">
        <f>VLOOKUP(B92,Dictionary!A:B,2,FALSE)</f>
        <v>Avulso</v>
      </c>
    </row>
    <row r="93" hidden="1">
      <c r="A93" s="2" t="s">
        <v>89</v>
      </c>
      <c r="B93" s="6">
        <v>25.0</v>
      </c>
      <c r="C93" s="2" t="s">
        <v>96</v>
      </c>
      <c r="D93" s="1" t="str">
        <f>VLOOKUP(B93,Dictionary!A:B,2,FALSE)</f>
        <v>Avulso</v>
      </c>
    </row>
    <row r="94" hidden="1">
      <c r="A94" s="2" t="s">
        <v>34</v>
      </c>
      <c r="B94" s="6">
        <v>75.0</v>
      </c>
      <c r="C94" s="2" t="s">
        <v>100</v>
      </c>
      <c r="D94" s="1" t="str">
        <f>VLOOKUP(B94,Dictionary!A:B,2,FALSE)</f>
        <v>Mensal</v>
      </c>
    </row>
    <row r="95" hidden="1">
      <c r="A95" s="2" t="s">
        <v>35</v>
      </c>
      <c r="B95" s="6">
        <v>75.0</v>
      </c>
      <c r="C95" s="2" t="s">
        <v>100</v>
      </c>
      <c r="D95" s="1" t="str">
        <f>VLOOKUP(B95,Dictionary!A:B,2,FALSE)</f>
        <v>Mensal</v>
      </c>
    </row>
    <row r="96" hidden="1">
      <c r="A96" s="2" t="s">
        <v>38</v>
      </c>
      <c r="B96" s="6">
        <v>75.0</v>
      </c>
      <c r="C96" s="2" t="s">
        <v>100</v>
      </c>
      <c r="D96" s="1" t="str">
        <f>VLOOKUP(B96,Dictionary!A:B,2,FALSE)</f>
        <v>Mensal</v>
      </c>
    </row>
    <row r="97" hidden="1">
      <c r="A97" s="2" t="s">
        <v>43</v>
      </c>
      <c r="B97" s="6">
        <v>75.0</v>
      </c>
      <c r="C97" s="2" t="s">
        <v>100</v>
      </c>
      <c r="D97" s="1" t="str">
        <f>VLOOKUP(B97,Dictionary!A:B,2,FALSE)</f>
        <v>Mensal</v>
      </c>
    </row>
    <row r="98" hidden="1">
      <c r="A98" s="2" t="s">
        <v>92</v>
      </c>
      <c r="B98" s="6">
        <v>75.0</v>
      </c>
      <c r="C98" s="2" t="s">
        <v>100</v>
      </c>
      <c r="D98" s="1" t="str">
        <f>VLOOKUP(B98,Dictionary!A:B,2,FALSE)</f>
        <v>Mensal</v>
      </c>
    </row>
    <row r="99" hidden="1">
      <c r="A99" s="2" t="s">
        <v>28</v>
      </c>
      <c r="B99" s="6">
        <v>75.0</v>
      </c>
      <c r="C99" s="2" t="s">
        <v>100</v>
      </c>
      <c r="D99" s="1" t="str">
        <f>VLOOKUP(B99,Dictionary!A:B,2,FALSE)</f>
        <v>Mensal</v>
      </c>
    </row>
    <row r="100" hidden="1">
      <c r="A100" s="2" t="s">
        <v>88</v>
      </c>
      <c r="B100" s="6">
        <v>75.0</v>
      </c>
      <c r="C100" s="2" t="s">
        <v>100</v>
      </c>
      <c r="D100" s="1" t="str">
        <f>VLOOKUP(B100,Dictionary!A:B,2,FALSE)</f>
        <v>Mensal</v>
      </c>
    </row>
    <row r="101" hidden="1">
      <c r="A101" s="2" t="s">
        <v>50</v>
      </c>
      <c r="B101" s="6">
        <v>75.0</v>
      </c>
      <c r="C101" s="2" t="s">
        <v>100</v>
      </c>
      <c r="D101" s="1" t="str">
        <f>VLOOKUP(B101,Dictionary!A:B,2,FALSE)</f>
        <v>Mensal</v>
      </c>
    </row>
    <row r="102" hidden="1">
      <c r="A102" s="2" t="s">
        <v>47</v>
      </c>
      <c r="B102" s="6">
        <v>75.0</v>
      </c>
      <c r="C102" s="2" t="s">
        <v>100</v>
      </c>
      <c r="D102" s="1" t="str">
        <f>VLOOKUP(B102,Dictionary!A:B,2,FALSE)</f>
        <v>Mensal</v>
      </c>
    </row>
    <row r="103" hidden="1">
      <c r="A103" s="2" t="s">
        <v>45</v>
      </c>
      <c r="B103" s="6">
        <v>75.0</v>
      </c>
      <c r="C103" s="2" t="s">
        <v>100</v>
      </c>
      <c r="D103" s="1" t="str">
        <f>VLOOKUP(B103,Dictionary!A:B,2,FALSE)</f>
        <v>Mensal</v>
      </c>
    </row>
    <row r="104" hidden="1">
      <c r="A104" s="2" t="s">
        <v>32</v>
      </c>
      <c r="B104" s="6">
        <v>-920.0</v>
      </c>
      <c r="C104" s="2" t="s">
        <v>100</v>
      </c>
      <c r="D104" s="1" t="str">
        <f>VLOOKUP(B104,Dictionary!A:B,2,FALSE)</f>
        <v>Quadra 4 jogos</v>
      </c>
    </row>
    <row r="105" hidden="1">
      <c r="A105" s="2" t="s">
        <v>39</v>
      </c>
      <c r="B105" s="6">
        <v>75.0</v>
      </c>
      <c r="C105" s="2" t="s">
        <v>100</v>
      </c>
      <c r="D105" s="1" t="str">
        <f>VLOOKUP(B105,Dictionary!A:B,2,FALSE)</f>
        <v>Mensal</v>
      </c>
    </row>
    <row r="106" hidden="1">
      <c r="A106" s="2" t="s">
        <v>80</v>
      </c>
      <c r="B106" s="6">
        <v>75.0</v>
      </c>
      <c r="C106" s="2" t="s">
        <v>100</v>
      </c>
      <c r="D106" s="1" t="str">
        <f>VLOOKUP(B106,Dictionary!A:B,2,FALSE)</f>
        <v>Mensal</v>
      </c>
    </row>
    <row r="107" hidden="1">
      <c r="A107" s="2" t="s">
        <v>101</v>
      </c>
      <c r="B107" s="6">
        <v>25.0</v>
      </c>
      <c r="C107" s="2" t="s">
        <v>100</v>
      </c>
      <c r="D107" s="1" t="str">
        <f>VLOOKUP(B107,Dictionary!A:B,2,FALSE)</f>
        <v>Avulso</v>
      </c>
    </row>
    <row r="108" hidden="1">
      <c r="A108" s="2" t="s">
        <v>82</v>
      </c>
      <c r="B108" s="6">
        <v>-25.0</v>
      </c>
      <c r="C108" s="2" t="s">
        <v>100</v>
      </c>
      <c r="D108" s="1" t="str">
        <f>VLOOKUP(B108,Dictionary!A:B,2,FALSE)</f>
        <v>#N/A</v>
      </c>
    </row>
    <row r="109" hidden="1">
      <c r="A109" s="2" t="s">
        <v>102</v>
      </c>
      <c r="B109" s="6">
        <v>25.0</v>
      </c>
      <c r="C109" s="2" t="s">
        <v>100</v>
      </c>
      <c r="D109" s="1" t="str">
        <f>VLOOKUP(B109,Dictionary!A:B,2,FALSE)</f>
        <v>Avulso</v>
      </c>
    </row>
    <row r="110" hidden="1">
      <c r="A110" s="2" t="s">
        <v>31</v>
      </c>
      <c r="B110" s="6">
        <v>75.0</v>
      </c>
      <c r="C110" s="2" t="s">
        <v>100</v>
      </c>
      <c r="D110" s="1" t="str">
        <f>VLOOKUP(B110,Dictionary!A:B,2,FALSE)</f>
        <v>Mensal</v>
      </c>
    </row>
    <row r="111" hidden="1">
      <c r="A111" s="2" t="s">
        <v>89</v>
      </c>
      <c r="B111" s="6">
        <v>25.0</v>
      </c>
      <c r="C111" s="2" t="s">
        <v>100</v>
      </c>
      <c r="D111" s="1" t="str">
        <f>VLOOKUP(B111,Dictionary!A:B,2,FALSE)</f>
        <v>Avulso</v>
      </c>
    </row>
    <row r="112" hidden="1">
      <c r="A112" s="2" t="s">
        <v>77</v>
      </c>
      <c r="B112" s="6">
        <v>25.0</v>
      </c>
      <c r="C112" s="2" t="s">
        <v>100</v>
      </c>
      <c r="D112" s="1" t="str">
        <f>VLOOKUP(B112,Dictionary!A:B,2,FALSE)</f>
        <v>Avulso</v>
      </c>
    </row>
    <row r="113" hidden="1">
      <c r="A113" s="2" t="s">
        <v>82</v>
      </c>
      <c r="B113" s="6">
        <v>-40.0</v>
      </c>
      <c r="C113" s="2" t="s">
        <v>100</v>
      </c>
      <c r="D113" s="1" t="str">
        <f>VLOOKUP(B113,Dictionary!A:B,2,FALSE)</f>
        <v>Goleiro App</v>
      </c>
    </row>
    <row r="114" hidden="1">
      <c r="A114" s="2" t="s">
        <v>82</v>
      </c>
      <c r="B114" s="6">
        <v>-40.0</v>
      </c>
      <c r="C114" s="2" t="s">
        <v>100</v>
      </c>
      <c r="D114" s="1" t="str">
        <f>VLOOKUP(B114,Dictionary!A:B,2,FALSE)</f>
        <v>Goleiro App</v>
      </c>
    </row>
    <row r="115" hidden="1">
      <c r="A115" s="2" t="s">
        <v>102</v>
      </c>
      <c r="B115" s="6">
        <v>25.0</v>
      </c>
      <c r="C115" s="2" t="s">
        <v>100</v>
      </c>
      <c r="D115" s="1" t="str">
        <f>VLOOKUP(B115,Dictionary!A:B,2,FALSE)</f>
        <v>Avulso</v>
      </c>
    </row>
    <row r="116" hidden="1">
      <c r="A116" s="2" t="s">
        <v>41</v>
      </c>
      <c r="B116" s="6">
        <v>25.0</v>
      </c>
      <c r="C116" s="2" t="s">
        <v>100</v>
      </c>
      <c r="D116" s="1" t="str">
        <f>VLOOKUP(B116,Dictionary!A:B,2,FALSE)</f>
        <v>Avulso</v>
      </c>
    </row>
    <row r="117" hidden="1">
      <c r="A117" s="2" t="s">
        <v>98</v>
      </c>
      <c r="B117" s="6">
        <v>25.0</v>
      </c>
      <c r="C117" s="2" t="s">
        <v>100</v>
      </c>
      <c r="D117" s="1" t="str">
        <f>VLOOKUP(B117,Dictionary!A:B,2,FALSE)</f>
        <v>Avulso</v>
      </c>
    </row>
    <row r="118" hidden="1">
      <c r="A118" s="2" t="s">
        <v>32</v>
      </c>
      <c r="B118" s="6">
        <v>-920.0</v>
      </c>
      <c r="C118" s="2" t="s">
        <v>15</v>
      </c>
      <c r="D118" s="1" t="str">
        <f>VLOOKUP(B118,Dictionary!A:B,2,FALSE)</f>
        <v>Quadra 4 jogos</v>
      </c>
    </row>
    <row r="119" hidden="1">
      <c r="A119" s="2" t="s">
        <v>35</v>
      </c>
      <c r="B119" s="6">
        <v>75.0</v>
      </c>
      <c r="C119" s="2" t="s">
        <v>15</v>
      </c>
      <c r="D119" s="1" t="str">
        <f>VLOOKUP(B119,Dictionary!A:B,2,FALSE)</f>
        <v>Mensal</v>
      </c>
    </row>
    <row r="120" hidden="1">
      <c r="A120" s="2" t="s">
        <v>34</v>
      </c>
      <c r="B120" s="6">
        <v>75.0</v>
      </c>
      <c r="C120" s="2" t="s">
        <v>15</v>
      </c>
      <c r="D120" s="1" t="str">
        <f>VLOOKUP(B120,Dictionary!A:B,2,FALSE)</f>
        <v>Mensal</v>
      </c>
    </row>
    <row r="121" hidden="1">
      <c r="A121" s="2" t="s">
        <v>47</v>
      </c>
      <c r="B121" s="6">
        <v>75.0</v>
      </c>
      <c r="C121" s="2" t="s">
        <v>15</v>
      </c>
      <c r="D121" s="1" t="str">
        <f>VLOOKUP(B121,Dictionary!A:B,2,FALSE)</f>
        <v>Mensal</v>
      </c>
    </row>
    <row r="122" hidden="1">
      <c r="A122" s="2" t="s">
        <v>103</v>
      </c>
      <c r="B122" s="6">
        <v>75.0</v>
      </c>
      <c r="C122" s="2" t="s">
        <v>15</v>
      </c>
      <c r="D122" s="1" t="str">
        <f>VLOOKUP(B122,Dictionary!A:B,2,FALSE)</f>
        <v>Mensal</v>
      </c>
    </row>
    <row r="123" hidden="1">
      <c r="A123" s="2" t="s">
        <v>46</v>
      </c>
      <c r="B123" s="6">
        <v>75.0</v>
      </c>
      <c r="C123" s="2" t="s">
        <v>15</v>
      </c>
      <c r="D123" s="1" t="str">
        <f>VLOOKUP(B123,Dictionary!A:B,2,FALSE)</f>
        <v>Mensal</v>
      </c>
    </row>
    <row r="124" hidden="1">
      <c r="A124" s="2" t="s">
        <v>92</v>
      </c>
      <c r="B124" s="6">
        <v>75.0</v>
      </c>
      <c r="C124" s="2" t="s">
        <v>15</v>
      </c>
      <c r="D124" s="1" t="str">
        <f>VLOOKUP(B124,Dictionary!A:B,2,FALSE)</f>
        <v>Mensal</v>
      </c>
    </row>
    <row r="125" hidden="1">
      <c r="A125" s="2" t="s">
        <v>50</v>
      </c>
      <c r="B125" s="6">
        <v>75.0</v>
      </c>
      <c r="C125" s="2" t="s">
        <v>15</v>
      </c>
      <c r="D125" s="1" t="str">
        <f>VLOOKUP(B125,Dictionary!A:B,2,FALSE)</f>
        <v>Mensal</v>
      </c>
    </row>
    <row r="126" hidden="1">
      <c r="A126" s="2" t="s">
        <v>39</v>
      </c>
      <c r="B126" s="6">
        <v>75.0</v>
      </c>
      <c r="C126" s="2" t="s">
        <v>15</v>
      </c>
      <c r="D126" s="1" t="str">
        <f>VLOOKUP(B126,Dictionary!A:B,2,FALSE)</f>
        <v>Mensal</v>
      </c>
    </row>
    <row r="127" hidden="1">
      <c r="A127" s="2" t="s">
        <v>28</v>
      </c>
      <c r="B127" s="6">
        <v>75.0</v>
      </c>
      <c r="C127" s="2" t="s">
        <v>15</v>
      </c>
      <c r="D127" s="1" t="str">
        <f>VLOOKUP(B127,Dictionary!A:B,2,FALSE)</f>
        <v>Mensal</v>
      </c>
    </row>
    <row r="128" hidden="1">
      <c r="A128" s="2" t="s">
        <v>79</v>
      </c>
      <c r="B128" s="6">
        <v>25.0</v>
      </c>
      <c r="C128" s="2" t="s">
        <v>15</v>
      </c>
      <c r="D128" s="1" t="str">
        <f>VLOOKUP(B128,Dictionary!A:B,2,FALSE)</f>
        <v>Avulso</v>
      </c>
    </row>
    <row r="129" hidden="1">
      <c r="A129" s="2" t="s">
        <v>29</v>
      </c>
      <c r="B129" s="6">
        <v>25.0</v>
      </c>
      <c r="C129" s="2" t="s">
        <v>15</v>
      </c>
      <c r="D129" s="1" t="str">
        <f>VLOOKUP(B129,Dictionary!A:B,2,FALSE)</f>
        <v>Avulso</v>
      </c>
    </row>
    <row r="130" hidden="1">
      <c r="A130" s="2" t="s">
        <v>104</v>
      </c>
      <c r="B130" s="6">
        <v>25.0</v>
      </c>
      <c r="C130" s="2" t="s">
        <v>15</v>
      </c>
      <c r="D130" s="1" t="str">
        <f>VLOOKUP(B130,Dictionary!A:B,2,FALSE)</f>
        <v>Avulso</v>
      </c>
    </row>
    <row r="131" hidden="1">
      <c r="A131" s="2" t="s">
        <v>105</v>
      </c>
      <c r="B131" s="6">
        <v>-75.0</v>
      </c>
      <c r="C131" s="2" t="s">
        <v>15</v>
      </c>
      <c r="D131" s="1" t="str">
        <f>VLOOKUP(B131,Dictionary!A:B,2,FALSE)</f>
        <v>#N/A</v>
      </c>
    </row>
    <row r="132" hidden="1">
      <c r="A132" s="2" t="s">
        <v>45</v>
      </c>
      <c r="B132" s="6">
        <v>25.0</v>
      </c>
      <c r="C132" s="2" t="s">
        <v>15</v>
      </c>
      <c r="D132" s="1" t="str">
        <f>VLOOKUP(B132,Dictionary!A:B,2,FALSE)</f>
        <v>Avulso</v>
      </c>
    </row>
    <row r="133" hidden="1">
      <c r="A133" s="2" t="s">
        <v>98</v>
      </c>
      <c r="B133" s="6">
        <v>25.0</v>
      </c>
      <c r="C133" s="2" t="s">
        <v>15</v>
      </c>
      <c r="D133" s="1" t="str">
        <f>VLOOKUP(B133,Dictionary!A:B,2,FALSE)</f>
        <v>Avulso</v>
      </c>
    </row>
    <row r="134" hidden="1">
      <c r="A134" s="2" t="s">
        <v>52</v>
      </c>
      <c r="B134" s="6">
        <v>25.0</v>
      </c>
      <c r="C134" s="2" t="s">
        <v>15</v>
      </c>
      <c r="D134" s="1" t="str">
        <f>VLOOKUP(B134,Dictionary!A:B,2,FALSE)</f>
        <v>Avulso</v>
      </c>
    </row>
    <row r="135" hidden="1">
      <c r="A135" s="2" t="s">
        <v>38</v>
      </c>
      <c r="B135" s="6">
        <v>75.0</v>
      </c>
      <c r="C135" s="2" t="s">
        <v>15</v>
      </c>
      <c r="D135" s="1" t="str">
        <f>VLOOKUP(B135,Dictionary!A:B,2,FALSE)</f>
        <v>Mensal</v>
      </c>
    </row>
    <row r="136" hidden="1">
      <c r="A136" s="2" t="s">
        <v>37</v>
      </c>
      <c r="B136" s="6">
        <v>75.0</v>
      </c>
      <c r="C136" s="2" t="s">
        <v>15</v>
      </c>
      <c r="D136" s="1" t="str">
        <f>VLOOKUP(B136,Dictionary!A:B,2,FALSE)</f>
        <v>Mensal</v>
      </c>
    </row>
    <row r="137" hidden="1">
      <c r="A137" s="2" t="s">
        <v>106</v>
      </c>
      <c r="B137" s="6">
        <v>25.0</v>
      </c>
      <c r="C137" s="2" t="s">
        <v>15</v>
      </c>
      <c r="D137" s="1" t="str">
        <f>VLOOKUP(B137,Dictionary!A:B,2,FALSE)</f>
        <v>Avulso</v>
      </c>
    </row>
    <row r="138" hidden="1">
      <c r="A138" s="2" t="s">
        <v>104</v>
      </c>
      <c r="B138" s="6">
        <v>25.0</v>
      </c>
      <c r="C138" s="2" t="s">
        <v>15</v>
      </c>
      <c r="D138" s="1" t="str">
        <f>VLOOKUP(B138,Dictionary!A:B,2,FALSE)</f>
        <v>Avulso</v>
      </c>
    </row>
    <row r="139" hidden="1">
      <c r="A139" s="2" t="s">
        <v>107</v>
      </c>
      <c r="B139" s="6">
        <v>25.0</v>
      </c>
      <c r="C139" s="2" t="s">
        <v>15</v>
      </c>
      <c r="D139" s="1" t="str">
        <f>VLOOKUP(B139,Dictionary!A:B,2,FALSE)</f>
        <v>Avulso</v>
      </c>
    </row>
    <row r="140" hidden="1">
      <c r="A140" s="2" t="s">
        <v>77</v>
      </c>
      <c r="B140" s="6">
        <v>25.0</v>
      </c>
      <c r="C140" s="2" t="s">
        <v>15</v>
      </c>
      <c r="D140" s="1" t="str">
        <f>VLOOKUP(B140,Dictionary!A:B,2,FALSE)</f>
        <v>Avulso</v>
      </c>
    </row>
    <row r="141" hidden="1">
      <c r="A141" s="2" t="s">
        <v>82</v>
      </c>
      <c r="B141" s="6">
        <v>-40.0</v>
      </c>
      <c r="C141" s="2" t="s">
        <v>15</v>
      </c>
      <c r="D141" s="1" t="str">
        <f>VLOOKUP(B141,Dictionary!A:B,2,FALSE)</f>
        <v>Goleiro App</v>
      </c>
    </row>
    <row r="142" hidden="1">
      <c r="A142" s="2" t="s">
        <v>102</v>
      </c>
      <c r="B142" s="6">
        <v>25.0</v>
      </c>
      <c r="C142" s="2" t="s">
        <v>15</v>
      </c>
      <c r="D142" s="1" t="str">
        <f>VLOOKUP(B142,Dictionary!A:B,2,FALSE)</f>
        <v>Avulso</v>
      </c>
    </row>
    <row r="143" hidden="1">
      <c r="A143" s="2" t="s">
        <v>34</v>
      </c>
      <c r="B143" s="6">
        <v>75.0</v>
      </c>
      <c r="C143" s="2" t="s">
        <v>108</v>
      </c>
      <c r="D143" s="1" t="str">
        <f>VLOOKUP(B143,Dictionary!A:B,2,FALSE)</f>
        <v>Mensal</v>
      </c>
    </row>
    <row r="144" hidden="1">
      <c r="A144" s="2" t="s">
        <v>35</v>
      </c>
      <c r="B144" s="6">
        <v>75.0</v>
      </c>
      <c r="C144" s="2" t="s">
        <v>108</v>
      </c>
      <c r="D144" s="1" t="str">
        <f>VLOOKUP(B144,Dictionary!A:B,2,FALSE)</f>
        <v>Mensal</v>
      </c>
    </row>
    <row r="145" hidden="1">
      <c r="A145" s="2" t="s">
        <v>45</v>
      </c>
      <c r="B145" s="6">
        <v>75.0</v>
      </c>
      <c r="C145" s="2" t="s">
        <v>108</v>
      </c>
      <c r="D145" s="1" t="str">
        <f>VLOOKUP(B145,Dictionary!A:B,2,FALSE)</f>
        <v>Mensal</v>
      </c>
    </row>
    <row r="146" hidden="1">
      <c r="A146" s="2" t="s">
        <v>28</v>
      </c>
      <c r="B146" s="6">
        <v>75.0</v>
      </c>
      <c r="C146" s="2" t="s">
        <v>108</v>
      </c>
      <c r="D146" s="1" t="str">
        <f>VLOOKUP(B146,Dictionary!A:B,2,FALSE)</f>
        <v>Mensal</v>
      </c>
    </row>
    <row r="147" hidden="1">
      <c r="A147" s="2" t="s">
        <v>47</v>
      </c>
      <c r="B147" s="6">
        <v>75.0</v>
      </c>
      <c r="C147" s="2" t="s">
        <v>108</v>
      </c>
      <c r="D147" s="1" t="str">
        <f>VLOOKUP(B147,Dictionary!A:B,2,FALSE)</f>
        <v>Mensal</v>
      </c>
    </row>
    <row r="148" hidden="1">
      <c r="A148" s="2" t="s">
        <v>29</v>
      </c>
      <c r="B148" s="6">
        <v>25.0</v>
      </c>
      <c r="C148" s="2" t="s">
        <v>108</v>
      </c>
      <c r="D148" s="1" t="str">
        <f>VLOOKUP(B148,Dictionary!A:B,2,FALSE)</f>
        <v>Avulso</v>
      </c>
    </row>
    <row r="149" hidden="1">
      <c r="A149" s="2" t="s">
        <v>109</v>
      </c>
      <c r="B149" s="6">
        <v>25.0</v>
      </c>
      <c r="C149" s="2" t="s">
        <v>108</v>
      </c>
      <c r="D149" s="1" t="str">
        <f>VLOOKUP(B149,Dictionary!A:B,2,FALSE)</f>
        <v>Avulso</v>
      </c>
    </row>
    <row r="150" hidden="1">
      <c r="A150" s="2" t="s">
        <v>98</v>
      </c>
      <c r="B150" s="6">
        <v>75.0</v>
      </c>
      <c r="C150" s="2" t="s">
        <v>108</v>
      </c>
      <c r="D150" s="1" t="str">
        <f>VLOOKUP(B150,Dictionary!A:B,2,FALSE)</f>
        <v>Mensal</v>
      </c>
    </row>
    <row r="151" hidden="1">
      <c r="A151" s="2" t="s">
        <v>46</v>
      </c>
      <c r="B151" s="6">
        <v>75.0</v>
      </c>
      <c r="C151" s="2" t="s">
        <v>108</v>
      </c>
      <c r="D151" s="1" t="str">
        <f>VLOOKUP(B151,Dictionary!A:B,2,FALSE)</f>
        <v>Mensal</v>
      </c>
    </row>
    <row r="152" hidden="1">
      <c r="A152" s="2" t="s">
        <v>37</v>
      </c>
      <c r="B152" s="6">
        <v>75.0</v>
      </c>
      <c r="C152" s="2" t="s">
        <v>108</v>
      </c>
      <c r="D152" s="1" t="str">
        <f>VLOOKUP(B152,Dictionary!A:B,2,FALSE)</f>
        <v>Mensal</v>
      </c>
    </row>
    <row r="153" hidden="1">
      <c r="A153" s="2" t="s">
        <v>39</v>
      </c>
      <c r="B153" s="6">
        <v>75.0</v>
      </c>
      <c r="C153" s="2" t="s">
        <v>108</v>
      </c>
      <c r="D153" s="1" t="str">
        <f>VLOOKUP(B153,Dictionary!A:B,2,FALSE)</f>
        <v>Mensal</v>
      </c>
    </row>
    <row r="154" hidden="1">
      <c r="A154" s="2" t="s">
        <v>102</v>
      </c>
      <c r="B154" s="6">
        <v>25.0</v>
      </c>
      <c r="C154" s="2" t="s">
        <v>108</v>
      </c>
      <c r="D154" s="1" t="str">
        <f>VLOOKUP(B154,Dictionary!A:B,2,FALSE)</f>
        <v>Avulso</v>
      </c>
    </row>
    <row r="155" hidden="1">
      <c r="A155" s="2" t="s">
        <v>83</v>
      </c>
      <c r="B155" s="6">
        <v>25.0</v>
      </c>
      <c r="C155" s="2" t="s">
        <v>108</v>
      </c>
      <c r="D155" s="1" t="str">
        <f>VLOOKUP(B155,Dictionary!A:B,2,FALSE)</f>
        <v>Avulso</v>
      </c>
    </row>
    <row r="156" hidden="1">
      <c r="A156" s="2" t="s">
        <v>110</v>
      </c>
      <c r="B156" s="6">
        <v>25.0</v>
      </c>
      <c r="C156" s="2" t="s">
        <v>108</v>
      </c>
      <c r="D156" s="1" t="str">
        <f>VLOOKUP(B156,Dictionary!A:B,2,FALSE)</f>
        <v>Avulso</v>
      </c>
    </row>
    <row r="157" hidden="1">
      <c r="A157" s="2" t="s">
        <v>82</v>
      </c>
      <c r="B157" s="6">
        <v>-40.0</v>
      </c>
      <c r="C157" s="2" t="s">
        <v>108</v>
      </c>
      <c r="D157" s="1" t="str">
        <f>VLOOKUP(B157,Dictionary!A:B,2,FALSE)</f>
        <v>Goleiro App</v>
      </c>
    </row>
    <row r="158" hidden="1">
      <c r="A158" s="2" t="s">
        <v>82</v>
      </c>
      <c r="B158" s="6">
        <v>-40.0</v>
      </c>
      <c r="C158" s="2" t="s">
        <v>108</v>
      </c>
      <c r="D158" s="1" t="str">
        <f>VLOOKUP(B158,Dictionary!A:B,2,FALSE)</f>
        <v>Goleiro App</v>
      </c>
    </row>
    <row r="159" hidden="1">
      <c r="A159" s="2" t="s">
        <v>32</v>
      </c>
      <c r="B159" s="6">
        <v>-1100.0</v>
      </c>
      <c r="C159" s="2" t="s">
        <v>108</v>
      </c>
      <c r="D159" s="1" t="str">
        <f>VLOOKUP(B159,Dictionary!A:B,2,FALSE)</f>
        <v>Quadra 5 jogos</v>
      </c>
    </row>
    <row r="160" hidden="1">
      <c r="A160" s="2" t="s">
        <v>31</v>
      </c>
      <c r="B160" s="6">
        <v>25.0</v>
      </c>
      <c r="C160" s="2" t="s">
        <v>108</v>
      </c>
      <c r="D160" s="1" t="str">
        <f>VLOOKUP(B160,Dictionary!A:B,2,FALSE)</f>
        <v>Avulso</v>
      </c>
    </row>
    <row r="161" hidden="1">
      <c r="A161" s="2" t="s">
        <v>111</v>
      </c>
      <c r="B161" s="6">
        <v>25.0</v>
      </c>
      <c r="C161" s="2" t="s">
        <v>108</v>
      </c>
      <c r="D161" s="1" t="str">
        <f>VLOOKUP(B161,Dictionary!A:B,2,FALSE)</f>
        <v>Avulso</v>
      </c>
    </row>
    <row r="162" hidden="1">
      <c r="A162" s="2" t="s">
        <v>71</v>
      </c>
      <c r="B162" s="6">
        <v>25.0</v>
      </c>
      <c r="C162" s="2" t="s">
        <v>108</v>
      </c>
      <c r="D162" s="1" t="str">
        <f>VLOOKUP(B162,Dictionary!A:B,2,FALSE)</f>
        <v>Avulso</v>
      </c>
    </row>
    <row r="163" hidden="1">
      <c r="A163" s="2" t="s">
        <v>52</v>
      </c>
      <c r="B163" s="6">
        <v>50.0</v>
      </c>
      <c r="C163" s="2" t="s">
        <v>108</v>
      </c>
      <c r="D163" s="1" t="str">
        <f>VLOOKUP(B163,Dictionary!A:B,2,FALSE)</f>
        <v>#N/A</v>
      </c>
    </row>
    <row r="164" hidden="1">
      <c r="A164" s="2" t="s">
        <v>36</v>
      </c>
      <c r="B164" s="6">
        <v>25.0</v>
      </c>
      <c r="C164" s="2" t="s">
        <v>108</v>
      </c>
      <c r="D164" s="1" t="str">
        <f>VLOOKUP(B164,Dictionary!A:B,2,FALSE)</f>
        <v>Avulso</v>
      </c>
    </row>
    <row r="165" hidden="1">
      <c r="A165" s="2" t="s">
        <v>83</v>
      </c>
      <c r="B165" s="6">
        <v>25.0</v>
      </c>
      <c r="C165" s="2" t="s">
        <v>108</v>
      </c>
      <c r="D165" s="1" t="str">
        <f>VLOOKUP(B165,Dictionary!A:B,2,FALSE)</f>
        <v>Avulso</v>
      </c>
    </row>
    <row r="166" hidden="1">
      <c r="A166" s="2" t="s">
        <v>102</v>
      </c>
      <c r="B166" s="6">
        <v>25.0</v>
      </c>
      <c r="C166" s="2" t="s">
        <v>108</v>
      </c>
      <c r="D166" s="1" t="str">
        <f>VLOOKUP(B166,Dictionary!A:B,2,FALSE)</f>
        <v>Avulso</v>
      </c>
    </row>
    <row r="167" hidden="1">
      <c r="A167" s="2" t="s">
        <v>82</v>
      </c>
      <c r="B167" s="6">
        <v>-40.0</v>
      </c>
      <c r="C167" s="2" t="s">
        <v>108</v>
      </c>
      <c r="D167" s="1" t="str">
        <f>VLOOKUP(B167,Dictionary!A:B,2,FALSE)</f>
        <v>Goleiro App</v>
      </c>
    </row>
    <row r="168" hidden="1">
      <c r="A168" s="2" t="s">
        <v>71</v>
      </c>
      <c r="B168" s="6">
        <v>25.0</v>
      </c>
      <c r="C168" s="2" t="s">
        <v>108</v>
      </c>
      <c r="D168" s="1" t="str">
        <f>VLOOKUP(B168,Dictionary!A:B,2,FALSE)</f>
        <v>Avulso</v>
      </c>
    </row>
    <row r="169" hidden="1">
      <c r="A169" s="2" t="s">
        <v>99</v>
      </c>
      <c r="B169" s="6">
        <v>25.0</v>
      </c>
      <c r="C169" s="2" t="s">
        <v>108</v>
      </c>
      <c r="D169" s="1" t="str">
        <f>VLOOKUP(B169,Dictionary!A:B,2,FALSE)</f>
        <v>Avulso</v>
      </c>
    </row>
    <row r="170" hidden="1">
      <c r="A170" s="2" t="s">
        <v>54</v>
      </c>
      <c r="B170" s="6">
        <v>25.0</v>
      </c>
      <c r="C170" s="2" t="s">
        <v>108</v>
      </c>
      <c r="D170" s="1" t="str">
        <f>VLOOKUP(B170,Dictionary!A:B,2,FALSE)</f>
        <v>Avulso</v>
      </c>
    </row>
    <row r="171" hidden="1">
      <c r="A171" s="2" t="s">
        <v>104</v>
      </c>
      <c r="B171" s="6">
        <v>25.0</v>
      </c>
      <c r="C171" s="2" t="s">
        <v>108</v>
      </c>
      <c r="D171" s="1" t="str">
        <f>VLOOKUP(B171,Dictionary!A:B,2,FALSE)</f>
        <v>Avulso</v>
      </c>
    </row>
    <row r="172" hidden="1">
      <c r="A172" s="2" t="s">
        <v>38</v>
      </c>
      <c r="B172" s="6">
        <v>25.0</v>
      </c>
      <c r="C172" s="2" t="s">
        <v>108</v>
      </c>
      <c r="D172" s="1" t="str">
        <f>VLOOKUP(B172,Dictionary!A:B,2,FALSE)</f>
        <v>Avulso</v>
      </c>
    </row>
    <row r="173" hidden="1">
      <c r="A173" s="2" t="s">
        <v>50</v>
      </c>
      <c r="B173" s="6">
        <v>75.0</v>
      </c>
      <c r="C173" s="2" t="s">
        <v>108</v>
      </c>
      <c r="D173" s="1" t="str">
        <f>VLOOKUP(B173,Dictionary!A:B,2,FALSE)</f>
        <v>Mensal</v>
      </c>
    </row>
    <row r="174" hidden="1">
      <c r="A174" s="2" t="s">
        <v>112</v>
      </c>
      <c r="B174" s="6">
        <v>25.0</v>
      </c>
      <c r="C174" s="2" t="s">
        <v>113</v>
      </c>
      <c r="D174" s="1" t="str">
        <f>VLOOKUP(B174,Dictionary!A:B,2,FALSE)</f>
        <v>Avulso</v>
      </c>
    </row>
    <row r="175" hidden="1">
      <c r="A175" s="2" t="s">
        <v>99</v>
      </c>
      <c r="B175" s="6">
        <v>25.0</v>
      </c>
      <c r="C175" s="2" t="s">
        <v>113</v>
      </c>
      <c r="D175" s="1" t="str">
        <f>VLOOKUP(B175,Dictionary!A:B,2,FALSE)</f>
        <v>Avulso</v>
      </c>
    </row>
    <row r="176" hidden="1">
      <c r="A176" s="2" t="s">
        <v>41</v>
      </c>
      <c r="B176" s="6">
        <v>25.0</v>
      </c>
      <c r="C176" s="2" t="s">
        <v>113</v>
      </c>
      <c r="D176" s="1" t="str">
        <f>VLOOKUP(B176,Dictionary!A:B,2,FALSE)</f>
        <v>Avulso</v>
      </c>
    </row>
    <row r="177" hidden="1">
      <c r="A177" s="2" t="s">
        <v>47</v>
      </c>
      <c r="B177" s="6">
        <v>75.0</v>
      </c>
      <c r="C177" s="2" t="s">
        <v>113</v>
      </c>
      <c r="D177" s="1" t="str">
        <f>VLOOKUP(B177,Dictionary!A:B,2,FALSE)</f>
        <v>Mensal</v>
      </c>
    </row>
    <row r="178" hidden="1">
      <c r="A178" s="2" t="s">
        <v>50</v>
      </c>
      <c r="B178" s="6">
        <v>75.0</v>
      </c>
      <c r="C178" s="2" t="s">
        <v>113</v>
      </c>
      <c r="D178" s="1" t="str">
        <f>VLOOKUP(B178,Dictionary!A:B,2,FALSE)</f>
        <v>Mensal</v>
      </c>
    </row>
    <row r="179" hidden="1">
      <c r="A179" s="2" t="s">
        <v>80</v>
      </c>
      <c r="B179" s="6">
        <v>75.0</v>
      </c>
      <c r="C179" s="2" t="s">
        <v>113</v>
      </c>
      <c r="D179" s="1" t="str">
        <f>VLOOKUP(B179,Dictionary!A:B,2,FALSE)</f>
        <v>Mensal</v>
      </c>
    </row>
    <row r="180" hidden="1">
      <c r="A180" s="2" t="s">
        <v>60</v>
      </c>
      <c r="B180" s="6">
        <v>75.0</v>
      </c>
      <c r="C180" s="2" t="s">
        <v>113</v>
      </c>
      <c r="D180" s="1" t="str">
        <f>VLOOKUP(B180,Dictionary!A:B,2,FALSE)</f>
        <v>Mensal</v>
      </c>
    </row>
    <row r="181" hidden="1">
      <c r="A181" s="2" t="s">
        <v>45</v>
      </c>
      <c r="B181" s="6">
        <v>75.0</v>
      </c>
      <c r="C181" s="2" t="s">
        <v>113</v>
      </c>
      <c r="D181" s="1" t="str">
        <f>VLOOKUP(B181,Dictionary!A:B,2,FALSE)</f>
        <v>Mensal</v>
      </c>
    </row>
    <row r="182" hidden="1">
      <c r="A182" s="2" t="s">
        <v>28</v>
      </c>
      <c r="B182" s="6">
        <v>75.0</v>
      </c>
      <c r="C182" s="2" t="s">
        <v>113</v>
      </c>
      <c r="D182" s="1" t="str">
        <f>VLOOKUP(B182,Dictionary!A:B,2,FALSE)</f>
        <v>Mensal</v>
      </c>
    </row>
    <row r="183" hidden="1">
      <c r="A183" s="2" t="s">
        <v>34</v>
      </c>
      <c r="B183" s="6">
        <v>75.0</v>
      </c>
      <c r="C183" s="2" t="s">
        <v>113</v>
      </c>
      <c r="D183" s="1" t="str">
        <f>VLOOKUP(B183,Dictionary!A:B,2,FALSE)</f>
        <v>Mensal</v>
      </c>
    </row>
    <row r="184" hidden="1">
      <c r="A184" s="2" t="s">
        <v>35</v>
      </c>
      <c r="B184" s="6">
        <v>75.0</v>
      </c>
      <c r="C184" s="2" t="s">
        <v>113</v>
      </c>
      <c r="D184" s="1" t="str">
        <f>VLOOKUP(B184,Dictionary!A:B,2,FALSE)</f>
        <v>Mensal</v>
      </c>
    </row>
    <row r="185" hidden="1">
      <c r="A185" s="2" t="s">
        <v>32</v>
      </c>
      <c r="B185" s="6">
        <v>-920.0</v>
      </c>
      <c r="C185" s="2" t="s">
        <v>113</v>
      </c>
      <c r="D185" s="1" t="str">
        <f>VLOOKUP(B185,Dictionary!A:B,2,FALSE)</f>
        <v>Quadra 4 jogos</v>
      </c>
    </row>
    <row r="186" hidden="1">
      <c r="A186" s="2" t="s">
        <v>62</v>
      </c>
      <c r="B186" s="6">
        <v>75.0</v>
      </c>
      <c r="C186" s="2" t="s">
        <v>113</v>
      </c>
      <c r="D186" s="1" t="str">
        <f>VLOOKUP(B186,Dictionary!A:B,2,FALSE)</f>
        <v>Mensal</v>
      </c>
    </row>
    <row r="187" hidden="1">
      <c r="A187" s="2" t="s">
        <v>54</v>
      </c>
      <c r="B187" s="6">
        <v>25.0</v>
      </c>
      <c r="C187" s="2" t="s">
        <v>113</v>
      </c>
      <c r="D187" s="1" t="str">
        <f>VLOOKUP(B187,Dictionary!A:B,2,FALSE)</f>
        <v>Avulso</v>
      </c>
    </row>
    <row r="188" hidden="1">
      <c r="A188" s="2" t="s">
        <v>71</v>
      </c>
      <c r="B188" s="6">
        <v>25.0</v>
      </c>
      <c r="C188" s="2" t="s">
        <v>113</v>
      </c>
      <c r="D188" s="1" t="str">
        <f>VLOOKUP(B188,Dictionary!A:B,2,FALSE)</f>
        <v>Avulso</v>
      </c>
    </row>
    <row r="189" hidden="1">
      <c r="A189" s="2" t="s">
        <v>114</v>
      </c>
      <c r="B189" s="6">
        <v>25.0</v>
      </c>
      <c r="C189" s="2" t="s">
        <v>113</v>
      </c>
      <c r="D189" s="1" t="str">
        <f>VLOOKUP(B189,Dictionary!A:B,2,FALSE)</f>
        <v>Avulso</v>
      </c>
    </row>
    <row r="190" hidden="1">
      <c r="A190" s="2" t="s">
        <v>36</v>
      </c>
      <c r="B190" s="6">
        <v>25.0</v>
      </c>
      <c r="C190" s="2" t="s">
        <v>113</v>
      </c>
      <c r="D190" s="1" t="str">
        <f>VLOOKUP(B190,Dictionary!A:B,2,FALSE)</f>
        <v>Avulso</v>
      </c>
    </row>
    <row r="191" hidden="1">
      <c r="A191" s="2" t="s">
        <v>98</v>
      </c>
      <c r="B191" s="6">
        <v>25.0</v>
      </c>
      <c r="C191" s="2" t="s">
        <v>115</v>
      </c>
      <c r="D191" s="1" t="str">
        <f>VLOOKUP(B191,Dictionary!A:B,2,FALSE)</f>
        <v>Avulso</v>
      </c>
    </row>
    <row r="192" hidden="1">
      <c r="A192" s="2" t="s">
        <v>54</v>
      </c>
      <c r="B192" s="6">
        <v>25.0</v>
      </c>
      <c r="C192" s="2" t="s">
        <v>115</v>
      </c>
      <c r="D192" s="1" t="str">
        <f>VLOOKUP(B192,Dictionary!A:B,2,FALSE)</f>
        <v>Avulso</v>
      </c>
    </row>
    <row r="193" hidden="1">
      <c r="A193" s="2" t="s">
        <v>43</v>
      </c>
      <c r="B193" s="6">
        <v>75.0</v>
      </c>
      <c r="C193" s="2" t="s">
        <v>115</v>
      </c>
      <c r="D193" s="1" t="str">
        <f>VLOOKUP(B193,Dictionary!A:B,2,FALSE)</f>
        <v>Mensal</v>
      </c>
    </row>
    <row r="194" hidden="1">
      <c r="A194" s="2" t="s">
        <v>52</v>
      </c>
      <c r="B194" s="6">
        <v>75.0</v>
      </c>
      <c r="C194" s="2" t="s">
        <v>115</v>
      </c>
      <c r="D194" s="1" t="str">
        <f>VLOOKUP(B194,Dictionary!A:B,2,FALSE)</f>
        <v>Mensal</v>
      </c>
    </row>
    <row r="195" hidden="1">
      <c r="A195" s="2" t="s">
        <v>31</v>
      </c>
      <c r="B195" s="6">
        <v>75.0</v>
      </c>
      <c r="C195" s="2" t="s">
        <v>115</v>
      </c>
      <c r="D195" s="1" t="str">
        <f>VLOOKUP(B195,Dictionary!A:B,2,FALSE)</f>
        <v>Mensal</v>
      </c>
    </row>
    <row r="196" hidden="1">
      <c r="A196" s="2" t="s">
        <v>28</v>
      </c>
      <c r="B196" s="6">
        <v>75.0</v>
      </c>
      <c r="C196" s="2" t="s">
        <v>115</v>
      </c>
      <c r="D196" s="1" t="str">
        <f>VLOOKUP(B196,Dictionary!A:B,2,FALSE)</f>
        <v>Mensal</v>
      </c>
    </row>
    <row r="197" hidden="1">
      <c r="A197" s="2" t="s">
        <v>80</v>
      </c>
      <c r="B197" s="6">
        <v>75.0</v>
      </c>
      <c r="C197" s="2" t="s">
        <v>115</v>
      </c>
      <c r="D197" s="1" t="str">
        <f>VLOOKUP(B197,Dictionary!A:B,2,FALSE)</f>
        <v>Mensal</v>
      </c>
    </row>
    <row r="198" hidden="1">
      <c r="A198" s="2" t="s">
        <v>34</v>
      </c>
      <c r="B198" s="6">
        <v>75.0</v>
      </c>
      <c r="C198" s="2" t="s">
        <v>115</v>
      </c>
      <c r="D198" s="1" t="str">
        <f>VLOOKUP(B198,Dictionary!A:B,2,FALSE)</f>
        <v>Mensal</v>
      </c>
    </row>
    <row r="199" hidden="1">
      <c r="A199" s="2" t="s">
        <v>35</v>
      </c>
      <c r="B199" s="6">
        <v>75.0</v>
      </c>
      <c r="C199" s="2" t="s">
        <v>115</v>
      </c>
      <c r="D199" s="1" t="str">
        <f>VLOOKUP(B199,Dictionary!A:B,2,FALSE)</f>
        <v>Mensal</v>
      </c>
    </row>
    <row r="200" hidden="1">
      <c r="A200" s="2" t="s">
        <v>41</v>
      </c>
      <c r="B200" s="6">
        <v>25.0</v>
      </c>
      <c r="C200" s="2" t="s">
        <v>115</v>
      </c>
      <c r="D200" s="1" t="str">
        <f>VLOOKUP(B200,Dictionary!A:B,2,FALSE)</f>
        <v>Avulso</v>
      </c>
    </row>
    <row r="201" hidden="1">
      <c r="A201" s="2" t="s">
        <v>38</v>
      </c>
      <c r="B201" s="6">
        <v>25.0</v>
      </c>
      <c r="C201" s="2" t="s">
        <v>115</v>
      </c>
      <c r="D201" s="1" t="str">
        <f>VLOOKUP(B201,Dictionary!A:B,2,FALSE)</f>
        <v>Avulso</v>
      </c>
    </row>
    <row r="202" hidden="1">
      <c r="A202" s="2" t="s">
        <v>46</v>
      </c>
      <c r="B202" s="6">
        <v>75.0</v>
      </c>
      <c r="C202" s="2" t="s">
        <v>115</v>
      </c>
      <c r="D202" s="1" t="str">
        <f>VLOOKUP(B202,Dictionary!A:B,2,FALSE)</f>
        <v>Mensal</v>
      </c>
    </row>
    <row r="203" hidden="1">
      <c r="A203" s="2" t="s">
        <v>47</v>
      </c>
      <c r="B203" s="6">
        <v>75.0</v>
      </c>
      <c r="C203" s="2" t="s">
        <v>115</v>
      </c>
      <c r="D203" s="1" t="str">
        <f>VLOOKUP(B203,Dictionary!A:B,2,FALSE)</f>
        <v>Mensal</v>
      </c>
    </row>
    <row r="204" hidden="1">
      <c r="A204" s="2" t="s">
        <v>32</v>
      </c>
      <c r="B204" s="6">
        <v>-1100.0</v>
      </c>
      <c r="C204" s="2" t="s">
        <v>115</v>
      </c>
      <c r="D204" s="1" t="str">
        <f>VLOOKUP(B204,Dictionary!A:B,2,FALSE)</f>
        <v>Quadra 5 jogos</v>
      </c>
    </row>
    <row r="205" hidden="1">
      <c r="A205" s="2" t="s">
        <v>38</v>
      </c>
      <c r="B205" s="6">
        <v>25.0</v>
      </c>
      <c r="C205" s="2" t="s">
        <v>115</v>
      </c>
      <c r="D205" s="1" t="str">
        <f>VLOOKUP(B205,Dictionary!A:B,2,FALSE)</f>
        <v>Avulso</v>
      </c>
    </row>
    <row r="206" hidden="1">
      <c r="A206" s="2" t="s">
        <v>41</v>
      </c>
      <c r="B206" s="6">
        <v>25.0</v>
      </c>
      <c r="C206" s="2" t="s">
        <v>115</v>
      </c>
      <c r="D206" s="1" t="str">
        <f>VLOOKUP(B206,Dictionary!A:B,2,FALSE)</f>
        <v>Avulso</v>
      </c>
    </row>
    <row r="207" hidden="1">
      <c r="A207" s="2" t="s">
        <v>71</v>
      </c>
      <c r="B207" s="6">
        <v>25.0</v>
      </c>
      <c r="C207" s="2" t="s">
        <v>115</v>
      </c>
      <c r="D207" s="1" t="str">
        <f>VLOOKUP(B207,Dictionary!A:B,2,FALSE)</f>
        <v>Avulso</v>
      </c>
    </row>
    <row r="208" hidden="1">
      <c r="A208" s="2" t="s">
        <v>49</v>
      </c>
      <c r="B208" s="6">
        <v>25.0</v>
      </c>
      <c r="C208" s="2" t="s">
        <v>115</v>
      </c>
      <c r="D208" s="1" t="str">
        <f>VLOOKUP(B208,Dictionary!A:B,2,FALSE)</f>
        <v>Avulso</v>
      </c>
    </row>
    <row r="209" hidden="1">
      <c r="A209" s="2" t="s">
        <v>62</v>
      </c>
      <c r="B209" s="6">
        <v>75.0</v>
      </c>
      <c r="C209" s="2" t="s">
        <v>115</v>
      </c>
      <c r="D209" s="1" t="str">
        <f>VLOOKUP(B209,Dictionary!A:B,2,FALSE)</f>
        <v>Mensal</v>
      </c>
    </row>
    <row r="210" hidden="1">
      <c r="A210" s="2" t="s">
        <v>29</v>
      </c>
      <c r="B210" s="6">
        <v>25.0</v>
      </c>
      <c r="C210" s="2" t="s">
        <v>115</v>
      </c>
      <c r="D210" s="1" t="str">
        <f>VLOOKUP(B210,Dictionary!A:B,2,FALSE)</f>
        <v>Avulso</v>
      </c>
    </row>
    <row r="211" hidden="1">
      <c r="A211" s="2" t="s">
        <v>41</v>
      </c>
      <c r="B211" s="6">
        <v>25.0</v>
      </c>
      <c r="C211" s="2" t="s">
        <v>115</v>
      </c>
      <c r="D211" s="1" t="str">
        <f>VLOOKUP(B211,Dictionary!A:B,2,FALSE)</f>
        <v>Avulso</v>
      </c>
    </row>
    <row r="212" hidden="1">
      <c r="A212" s="2" t="s">
        <v>37</v>
      </c>
      <c r="B212" s="6">
        <v>25.0</v>
      </c>
      <c r="C212" s="2" t="s">
        <v>115</v>
      </c>
      <c r="D212" s="1" t="str">
        <f>VLOOKUP(B212,Dictionary!A:B,2,FALSE)</f>
        <v>Avulso</v>
      </c>
    </row>
    <row r="213" hidden="1">
      <c r="A213" s="2" t="s">
        <v>98</v>
      </c>
      <c r="B213" s="6">
        <v>25.0</v>
      </c>
      <c r="C213" s="2" t="s">
        <v>115</v>
      </c>
      <c r="D213" s="1" t="str">
        <f>VLOOKUP(B213,Dictionary!A:B,2,FALSE)</f>
        <v>Avulso</v>
      </c>
    </row>
    <row r="214" hidden="1">
      <c r="A214" s="2" t="s">
        <v>56</v>
      </c>
      <c r="B214" s="6">
        <v>25.0</v>
      </c>
      <c r="C214" s="2" t="s">
        <v>115</v>
      </c>
      <c r="D214" s="1" t="str">
        <f>VLOOKUP(B214,Dictionary!A:B,2,FALSE)</f>
        <v>Avulso</v>
      </c>
    </row>
    <row r="215" hidden="1">
      <c r="A215" s="2" t="s">
        <v>82</v>
      </c>
      <c r="B215" s="6">
        <v>-40.0</v>
      </c>
      <c r="C215" s="2" t="s">
        <v>116</v>
      </c>
      <c r="D215" s="1" t="str">
        <f>VLOOKUP(B215,Dictionary!A:B,2,FALSE)</f>
        <v>Goleiro App</v>
      </c>
    </row>
    <row r="216" hidden="1">
      <c r="A216" s="2" t="s">
        <v>44</v>
      </c>
      <c r="B216" s="6">
        <v>25.0</v>
      </c>
      <c r="C216" s="2" t="s">
        <v>116</v>
      </c>
      <c r="D216" s="1" t="str">
        <f>VLOOKUP(B216,Dictionary!A:B,2,FALSE)</f>
        <v>Avulso</v>
      </c>
    </row>
    <row r="217" hidden="1">
      <c r="A217" s="2" t="s">
        <v>98</v>
      </c>
      <c r="B217" s="6">
        <v>25.0</v>
      </c>
      <c r="C217" s="2" t="s">
        <v>116</v>
      </c>
      <c r="D217" s="1" t="str">
        <f>VLOOKUP(B217,Dictionary!A:B,2,FALSE)</f>
        <v>Avulso</v>
      </c>
    </row>
    <row r="218" hidden="1">
      <c r="A218" s="2" t="s">
        <v>41</v>
      </c>
      <c r="B218" s="6">
        <v>25.0</v>
      </c>
      <c r="C218" s="2" t="s">
        <v>116</v>
      </c>
      <c r="D218" s="1" t="str">
        <f>VLOOKUP(B218,Dictionary!A:B,2,FALSE)</f>
        <v>Avulso</v>
      </c>
    </row>
    <row r="219" hidden="1">
      <c r="A219" s="2" t="s">
        <v>117</v>
      </c>
      <c r="B219" s="6">
        <v>25.0</v>
      </c>
      <c r="C219" s="2" t="s">
        <v>116</v>
      </c>
      <c r="D219" s="1" t="str">
        <f>VLOOKUP(B219,Dictionary!A:B,2,FALSE)</f>
        <v>Avulso</v>
      </c>
    </row>
    <row r="220" hidden="1">
      <c r="A220" s="2" t="s">
        <v>29</v>
      </c>
      <c r="B220" s="6">
        <v>25.0</v>
      </c>
      <c r="C220" s="2" t="s">
        <v>116</v>
      </c>
      <c r="D220" s="1" t="str">
        <f>VLOOKUP(B220,Dictionary!A:B,2,FALSE)</f>
        <v>Avulso</v>
      </c>
    </row>
    <row r="221" hidden="1">
      <c r="A221" s="2" t="s">
        <v>50</v>
      </c>
      <c r="B221" s="6">
        <v>50.0</v>
      </c>
      <c r="C221" s="2" t="s">
        <v>116</v>
      </c>
      <c r="D221" s="2" t="s">
        <v>118</v>
      </c>
    </row>
    <row r="222" hidden="1">
      <c r="A222" s="2" t="s">
        <v>82</v>
      </c>
      <c r="B222" s="6">
        <v>-40.0</v>
      </c>
      <c r="C222" s="2" t="s">
        <v>116</v>
      </c>
      <c r="D222" s="1" t="str">
        <f>VLOOKUP(B222,Dictionary!A:B,2,FALSE)</f>
        <v>Goleiro App</v>
      </c>
    </row>
    <row r="223" hidden="1">
      <c r="A223" s="2" t="s">
        <v>82</v>
      </c>
      <c r="B223" s="6">
        <v>-40.0</v>
      </c>
      <c r="C223" s="2" t="s">
        <v>116</v>
      </c>
      <c r="D223" s="1" t="str">
        <f>VLOOKUP(B223,Dictionary!A:B,2,FALSE)</f>
        <v>Goleiro App</v>
      </c>
    </row>
    <row r="224" hidden="1">
      <c r="A224" s="2" t="s">
        <v>119</v>
      </c>
      <c r="B224" s="6">
        <v>25.0</v>
      </c>
      <c r="C224" s="2" t="s">
        <v>116</v>
      </c>
      <c r="D224" s="1" t="str">
        <f>VLOOKUP(B224,Dictionary!A:B,2,FALSE)</f>
        <v>Avulso</v>
      </c>
    </row>
    <row r="225" hidden="1">
      <c r="A225" s="2" t="s">
        <v>49</v>
      </c>
      <c r="B225" s="6">
        <v>25.0</v>
      </c>
      <c r="C225" s="2" t="s">
        <v>116</v>
      </c>
      <c r="D225" s="1" t="str">
        <f>VLOOKUP(B225,Dictionary!A:B,2,FALSE)</f>
        <v>Avulso</v>
      </c>
    </row>
    <row r="226" hidden="1">
      <c r="A226" s="2" t="s">
        <v>52</v>
      </c>
      <c r="B226" s="6">
        <v>25.0</v>
      </c>
      <c r="C226" s="2" t="s">
        <v>116</v>
      </c>
      <c r="D226" s="1" t="str">
        <f>VLOOKUP(B226,Dictionary!A:B,2,FALSE)</f>
        <v>Avulso</v>
      </c>
    </row>
    <row r="227" hidden="1">
      <c r="A227" s="2" t="s">
        <v>117</v>
      </c>
      <c r="B227" s="6">
        <v>25.0</v>
      </c>
      <c r="C227" s="2" t="s">
        <v>116</v>
      </c>
      <c r="D227" s="1" t="str">
        <f>VLOOKUP(B227,Dictionary!A:B,2,FALSE)</f>
        <v>Avulso</v>
      </c>
    </row>
    <row r="228" hidden="1">
      <c r="A228" s="2" t="s">
        <v>32</v>
      </c>
      <c r="B228" s="6">
        <v>-920.0</v>
      </c>
      <c r="C228" s="2" t="s">
        <v>116</v>
      </c>
      <c r="D228" s="1" t="str">
        <f>VLOOKUP(B228,Dictionary!A:B,2,FALSE)</f>
        <v>Quadra 4 jogos</v>
      </c>
    </row>
    <row r="229" hidden="1">
      <c r="A229" s="2" t="s">
        <v>34</v>
      </c>
      <c r="B229" s="6">
        <v>75.0</v>
      </c>
      <c r="C229" s="2" t="s">
        <v>116</v>
      </c>
      <c r="D229" s="1" t="str">
        <f>VLOOKUP(B229,Dictionary!A:B,2,FALSE)</f>
        <v>Mensal</v>
      </c>
    </row>
    <row r="230" hidden="1">
      <c r="A230" s="2" t="s">
        <v>35</v>
      </c>
      <c r="B230" s="6">
        <v>75.0</v>
      </c>
      <c r="C230" s="2" t="s">
        <v>116</v>
      </c>
      <c r="D230" s="1" t="str">
        <f>VLOOKUP(B230,Dictionary!A:B,2,FALSE)</f>
        <v>Mensal</v>
      </c>
    </row>
    <row r="231" hidden="1">
      <c r="A231" s="2" t="s">
        <v>41</v>
      </c>
      <c r="B231" s="6">
        <v>75.0</v>
      </c>
      <c r="C231" s="2" t="s">
        <v>116</v>
      </c>
      <c r="D231" s="1" t="str">
        <f>VLOOKUP(B231,Dictionary!A:B,2,FALSE)</f>
        <v>Mensal</v>
      </c>
    </row>
    <row r="232" hidden="1">
      <c r="A232" s="2" t="s">
        <v>46</v>
      </c>
      <c r="B232" s="6">
        <v>75.0</v>
      </c>
      <c r="C232" s="2" t="s">
        <v>116</v>
      </c>
      <c r="D232" s="1" t="str">
        <f>VLOOKUP(B232,Dictionary!A:B,2,FALSE)</f>
        <v>Mensal</v>
      </c>
    </row>
    <row r="233" hidden="1">
      <c r="A233" s="2" t="s">
        <v>45</v>
      </c>
      <c r="B233" s="6">
        <v>75.0</v>
      </c>
      <c r="C233" s="2" t="s">
        <v>116</v>
      </c>
      <c r="D233" s="1" t="str">
        <f>VLOOKUP(B233,Dictionary!A:B,2,FALSE)</f>
        <v>Mensal</v>
      </c>
    </row>
    <row r="234" hidden="1">
      <c r="B234" s="3"/>
    </row>
    <row r="235" hidden="1">
      <c r="B235" s="3"/>
    </row>
    <row r="236" hidden="1">
      <c r="B236" s="3"/>
    </row>
    <row r="237" hidden="1">
      <c r="B237" s="3"/>
    </row>
    <row r="238" hidden="1">
      <c r="B238" s="3"/>
    </row>
    <row r="239" hidden="1">
      <c r="B239" s="3"/>
    </row>
    <row r="240" hidden="1">
      <c r="B240" s="3"/>
    </row>
    <row r="241" hidden="1">
      <c r="B241" s="3"/>
    </row>
    <row r="242" hidden="1">
      <c r="B242" s="3"/>
    </row>
    <row r="243" hidden="1">
      <c r="B243" s="3"/>
    </row>
    <row r="244" hidden="1">
      <c r="B244" s="3"/>
    </row>
    <row r="245" hidden="1">
      <c r="B245" s="3"/>
    </row>
    <row r="246" hidden="1">
      <c r="B246" s="3"/>
    </row>
    <row r="247" hidden="1">
      <c r="B247" s="3"/>
    </row>
    <row r="248" hidden="1">
      <c r="B248" s="3"/>
    </row>
    <row r="249" hidden="1">
      <c r="B249" s="3"/>
    </row>
    <row r="250" hidden="1">
      <c r="B250" s="3"/>
    </row>
    <row r="251" hidden="1">
      <c r="B251" s="3"/>
    </row>
    <row r="252" hidden="1">
      <c r="B252" s="3"/>
    </row>
    <row r="253" hidden="1">
      <c r="B253" s="3"/>
    </row>
    <row r="254" hidden="1">
      <c r="B254" s="3"/>
    </row>
    <row r="255" hidden="1">
      <c r="B255" s="3"/>
    </row>
    <row r="256" hidden="1">
      <c r="B256" s="3"/>
    </row>
    <row r="257" hidden="1">
      <c r="B257" s="3"/>
    </row>
    <row r="258" hidden="1">
      <c r="B258" s="3"/>
    </row>
    <row r="259" hidden="1">
      <c r="B259" s="3"/>
    </row>
    <row r="260" hidden="1">
      <c r="B260" s="3"/>
    </row>
    <row r="261" hidden="1">
      <c r="B261" s="3"/>
    </row>
    <row r="262" hidden="1">
      <c r="B262" s="3"/>
    </row>
    <row r="263" hidden="1">
      <c r="B263" s="3"/>
    </row>
    <row r="264" hidden="1">
      <c r="B264" s="3"/>
    </row>
    <row r="265" hidden="1">
      <c r="B265" s="3"/>
    </row>
    <row r="266" hidden="1">
      <c r="B266" s="3"/>
    </row>
    <row r="267" hidden="1">
      <c r="B267" s="3"/>
    </row>
    <row r="268" hidden="1">
      <c r="B268" s="3"/>
    </row>
    <row r="269" hidden="1">
      <c r="B269" s="3"/>
    </row>
    <row r="270" hidden="1">
      <c r="B270" s="3"/>
    </row>
    <row r="271" hidden="1">
      <c r="B271" s="3"/>
    </row>
    <row r="272" hidden="1">
      <c r="B272" s="3"/>
    </row>
    <row r="273" hidden="1">
      <c r="B273" s="3"/>
    </row>
    <row r="274" hidden="1">
      <c r="B274" s="3"/>
    </row>
    <row r="275" hidden="1">
      <c r="B275" s="3"/>
    </row>
    <row r="276" hidden="1">
      <c r="B276" s="3"/>
    </row>
    <row r="277" hidden="1">
      <c r="B277" s="3"/>
    </row>
    <row r="278" hidden="1">
      <c r="B278" s="3"/>
    </row>
    <row r="279" hidden="1">
      <c r="B279" s="3"/>
    </row>
    <row r="280" hidden="1">
      <c r="B280" s="3"/>
    </row>
    <row r="281" hidden="1">
      <c r="B281" s="3"/>
    </row>
    <row r="282" hidden="1">
      <c r="B282" s="3"/>
    </row>
    <row r="283" hidden="1">
      <c r="B283" s="3"/>
    </row>
    <row r="284" hidden="1">
      <c r="B284" s="3"/>
    </row>
    <row r="285" hidden="1">
      <c r="B285" s="3"/>
    </row>
    <row r="286" hidden="1">
      <c r="B286" s="3"/>
    </row>
    <row r="287" hidden="1">
      <c r="B287" s="3"/>
    </row>
    <row r="288" hidden="1">
      <c r="B288" s="3"/>
    </row>
    <row r="289" hidden="1">
      <c r="B289" s="3"/>
    </row>
    <row r="290" hidden="1">
      <c r="B290" s="3"/>
    </row>
    <row r="291" hidden="1">
      <c r="B291" s="3"/>
    </row>
    <row r="292" hidden="1">
      <c r="B292" s="3"/>
    </row>
    <row r="293" hidden="1">
      <c r="B293" s="3"/>
    </row>
    <row r="294" hidden="1">
      <c r="B294" s="3"/>
    </row>
    <row r="295" hidden="1">
      <c r="B295" s="3"/>
    </row>
    <row r="296" hidden="1">
      <c r="B296" s="3"/>
    </row>
    <row r="297" hidden="1">
      <c r="B297" s="3"/>
    </row>
    <row r="298" hidden="1">
      <c r="B298" s="3"/>
    </row>
    <row r="299" hidden="1">
      <c r="B299" s="3"/>
    </row>
    <row r="300" hidden="1">
      <c r="B300" s="3"/>
    </row>
    <row r="301" hidden="1">
      <c r="B301" s="3"/>
    </row>
    <row r="302" hidden="1">
      <c r="B302" s="3"/>
    </row>
    <row r="303" hidden="1">
      <c r="B303" s="3"/>
    </row>
    <row r="304" hidden="1">
      <c r="B304" s="3"/>
    </row>
    <row r="305" hidden="1">
      <c r="B305" s="3"/>
    </row>
    <row r="306" hidden="1">
      <c r="B306" s="3"/>
    </row>
    <row r="307" hidden="1">
      <c r="B307" s="3"/>
    </row>
    <row r="308" hidden="1">
      <c r="B308" s="3"/>
    </row>
    <row r="309" hidden="1">
      <c r="B309" s="3"/>
    </row>
    <row r="310" hidden="1">
      <c r="B310" s="3"/>
    </row>
    <row r="311" hidden="1">
      <c r="B311" s="3"/>
    </row>
    <row r="312" hidden="1">
      <c r="B312" s="3"/>
    </row>
    <row r="313" hidden="1">
      <c r="B313" s="3"/>
    </row>
    <row r="314" hidden="1">
      <c r="B314" s="3"/>
    </row>
    <row r="315" hidden="1">
      <c r="B315" s="3"/>
    </row>
    <row r="316" hidden="1">
      <c r="B316" s="3"/>
    </row>
    <row r="317" hidden="1">
      <c r="B317" s="3"/>
    </row>
    <row r="318" hidden="1">
      <c r="B318" s="3"/>
    </row>
    <row r="319" hidden="1">
      <c r="B319" s="3"/>
    </row>
    <row r="320" hidden="1">
      <c r="B320" s="3"/>
    </row>
    <row r="321" hidden="1">
      <c r="B321" s="3"/>
    </row>
    <row r="322" hidden="1">
      <c r="B322" s="3"/>
    </row>
    <row r="323" hidden="1">
      <c r="B323" s="3"/>
    </row>
    <row r="324" hidden="1">
      <c r="B324" s="3"/>
    </row>
    <row r="325" hidden="1">
      <c r="B325" s="3"/>
    </row>
    <row r="326" hidden="1">
      <c r="B326" s="3"/>
    </row>
    <row r="327" hidden="1">
      <c r="B327" s="3"/>
    </row>
    <row r="328" hidden="1">
      <c r="B328" s="3"/>
    </row>
    <row r="329" hidden="1">
      <c r="B329" s="3"/>
    </row>
    <row r="330" hidden="1">
      <c r="B330" s="3"/>
    </row>
    <row r="331" hidden="1">
      <c r="B331" s="3"/>
    </row>
    <row r="332" hidden="1">
      <c r="B332" s="3"/>
    </row>
    <row r="333" hidden="1">
      <c r="B333" s="3"/>
    </row>
    <row r="334" hidden="1">
      <c r="B334" s="3"/>
    </row>
    <row r="335" hidden="1">
      <c r="B335" s="3"/>
    </row>
    <row r="336" hidden="1">
      <c r="B336" s="3"/>
    </row>
    <row r="337" hidden="1">
      <c r="B337" s="3"/>
    </row>
    <row r="338" hidden="1">
      <c r="B338" s="3"/>
    </row>
    <row r="339" hidden="1">
      <c r="B339" s="3"/>
    </row>
    <row r="340" hidden="1">
      <c r="B340" s="3"/>
    </row>
    <row r="341" hidden="1">
      <c r="B341" s="3"/>
    </row>
    <row r="342" hidden="1">
      <c r="B342" s="3"/>
    </row>
    <row r="343" hidden="1">
      <c r="B343" s="3"/>
    </row>
    <row r="344" hidden="1">
      <c r="B344" s="3"/>
    </row>
    <row r="345" hidden="1">
      <c r="B345" s="3"/>
    </row>
    <row r="346" hidden="1">
      <c r="B346" s="3"/>
    </row>
    <row r="347" hidden="1">
      <c r="B347" s="3"/>
    </row>
    <row r="348" hidden="1">
      <c r="B348" s="3"/>
    </row>
    <row r="349" hidden="1">
      <c r="B349" s="3"/>
    </row>
    <row r="350" hidden="1">
      <c r="B350" s="3"/>
    </row>
    <row r="351" hidden="1">
      <c r="B351" s="3"/>
    </row>
    <row r="352" hidden="1">
      <c r="B352" s="3"/>
    </row>
    <row r="353" hidden="1">
      <c r="B353" s="3"/>
    </row>
    <row r="354" hidden="1">
      <c r="B354" s="3"/>
    </row>
    <row r="355" hidden="1">
      <c r="B355" s="3"/>
    </row>
    <row r="356" hidden="1">
      <c r="B356" s="3"/>
    </row>
    <row r="357" hidden="1">
      <c r="B357" s="3"/>
    </row>
    <row r="358" hidden="1">
      <c r="B358" s="3"/>
    </row>
    <row r="359" hidden="1">
      <c r="B359" s="3"/>
    </row>
    <row r="360" hidden="1">
      <c r="B360" s="3"/>
    </row>
    <row r="361" hidden="1">
      <c r="B361" s="3"/>
    </row>
    <row r="362" hidden="1">
      <c r="B362" s="3"/>
    </row>
    <row r="363" hidden="1">
      <c r="B363" s="3"/>
    </row>
    <row r="364" hidden="1">
      <c r="B364" s="3"/>
    </row>
    <row r="365" hidden="1">
      <c r="B365" s="3"/>
    </row>
    <row r="366" hidden="1">
      <c r="B366" s="3"/>
    </row>
    <row r="367" hidden="1">
      <c r="B367" s="3"/>
    </row>
    <row r="368" hidden="1">
      <c r="B368" s="3"/>
    </row>
    <row r="369" hidden="1">
      <c r="B369" s="3"/>
    </row>
    <row r="370" hidden="1">
      <c r="B370" s="3"/>
    </row>
    <row r="371" hidden="1">
      <c r="B371" s="3"/>
    </row>
    <row r="372" hidden="1">
      <c r="B372" s="3"/>
    </row>
    <row r="373" hidden="1">
      <c r="B373" s="3"/>
    </row>
    <row r="374" hidden="1">
      <c r="B374" s="3"/>
    </row>
    <row r="375" hidden="1">
      <c r="B375" s="3"/>
    </row>
    <row r="376" hidden="1">
      <c r="B376" s="3"/>
    </row>
    <row r="377" hidden="1">
      <c r="B377" s="3"/>
    </row>
    <row r="378" hidden="1">
      <c r="B378" s="3"/>
    </row>
    <row r="379" hidden="1">
      <c r="B379" s="3"/>
    </row>
    <row r="380" hidden="1">
      <c r="B380" s="3"/>
    </row>
    <row r="381" hidden="1">
      <c r="B381" s="3"/>
    </row>
    <row r="382" hidden="1">
      <c r="B382" s="3"/>
    </row>
    <row r="383" hidden="1">
      <c r="B383" s="3"/>
    </row>
    <row r="384" hidden="1">
      <c r="B384" s="3"/>
    </row>
    <row r="385" hidden="1">
      <c r="B385" s="3"/>
    </row>
    <row r="386" hidden="1">
      <c r="B386" s="3"/>
    </row>
    <row r="387" hidden="1">
      <c r="B387" s="3"/>
    </row>
    <row r="388" hidden="1">
      <c r="B388" s="3"/>
    </row>
    <row r="389" hidden="1">
      <c r="B389" s="3"/>
    </row>
    <row r="390" hidden="1">
      <c r="B390" s="3"/>
    </row>
    <row r="391" hidden="1">
      <c r="B391" s="3"/>
    </row>
    <row r="392" hidden="1">
      <c r="B392" s="3"/>
    </row>
    <row r="393" hidden="1">
      <c r="B393" s="3"/>
    </row>
    <row r="394" hidden="1">
      <c r="B394" s="3"/>
    </row>
    <row r="395" hidden="1">
      <c r="B395" s="3"/>
    </row>
    <row r="396" hidden="1">
      <c r="B396" s="3"/>
    </row>
    <row r="397" hidden="1">
      <c r="B397" s="3"/>
    </row>
    <row r="398" hidden="1">
      <c r="B398" s="3"/>
    </row>
    <row r="399" hidden="1">
      <c r="B399" s="3"/>
    </row>
    <row r="400" hidden="1">
      <c r="B400" s="3"/>
    </row>
    <row r="401" hidden="1">
      <c r="B401" s="3"/>
    </row>
    <row r="402" hidden="1">
      <c r="B402" s="3"/>
    </row>
    <row r="403" hidden="1">
      <c r="B403" s="3"/>
    </row>
    <row r="404" hidden="1">
      <c r="B404" s="3"/>
    </row>
    <row r="405" hidden="1">
      <c r="B405" s="3"/>
    </row>
    <row r="406" hidden="1">
      <c r="B406" s="3"/>
    </row>
    <row r="407" hidden="1">
      <c r="B407" s="3"/>
    </row>
    <row r="408" hidden="1">
      <c r="B408" s="3"/>
    </row>
    <row r="409" hidden="1">
      <c r="B409" s="3"/>
    </row>
    <row r="410" hidden="1">
      <c r="B410" s="3"/>
    </row>
    <row r="411" hidden="1">
      <c r="B411" s="3"/>
    </row>
    <row r="412" hidden="1">
      <c r="B412" s="3"/>
    </row>
    <row r="413" hidden="1">
      <c r="B413" s="3"/>
    </row>
    <row r="414" hidden="1">
      <c r="B414" s="3"/>
    </row>
    <row r="415" hidden="1">
      <c r="B415" s="3"/>
    </row>
    <row r="416" hidden="1">
      <c r="B416" s="3"/>
    </row>
    <row r="417" hidden="1">
      <c r="B417" s="3"/>
    </row>
    <row r="418" hidden="1">
      <c r="B418" s="3"/>
    </row>
    <row r="419" hidden="1">
      <c r="B419" s="3"/>
    </row>
    <row r="420" hidden="1">
      <c r="B420" s="3"/>
    </row>
    <row r="421" hidden="1">
      <c r="B421" s="3"/>
    </row>
    <row r="422" hidden="1">
      <c r="B422" s="3"/>
    </row>
    <row r="423" hidden="1">
      <c r="B423" s="3"/>
    </row>
    <row r="424" hidden="1">
      <c r="B424" s="3"/>
    </row>
    <row r="425" hidden="1">
      <c r="B425" s="3"/>
    </row>
    <row r="426" hidden="1">
      <c r="B426" s="3"/>
    </row>
    <row r="427" hidden="1">
      <c r="B427" s="3"/>
    </row>
    <row r="428" hidden="1">
      <c r="B428" s="3"/>
    </row>
    <row r="429" hidden="1">
      <c r="B429" s="3"/>
    </row>
    <row r="430" hidden="1">
      <c r="B430" s="3"/>
    </row>
    <row r="431" hidden="1">
      <c r="B431" s="3"/>
    </row>
    <row r="432" hidden="1">
      <c r="B432" s="3"/>
    </row>
    <row r="433" hidden="1">
      <c r="B433" s="3"/>
    </row>
    <row r="434" hidden="1">
      <c r="B434" s="3"/>
    </row>
    <row r="435" hidden="1">
      <c r="B435" s="3"/>
    </row>
    <row r="436" hidden="1">
      <c r="B436" s="3"/>
    </row>
    <row r="437" hidden="1">
      <c r="B437" s="3"/>
    </row>
    <row r="438" hidden="1">
      <c r="B438" s="3"/>
    </row>
    <row r="439" hidden="1">
      <c r="B439" s="3"/>
    </row>
    <row r="440" hidden="1">
      <c r="B440" s="3"/>
    </row>
    <row r="441" hidden="1">
      <c r="B441" s="3"/>
    </row>
    <row r="442" hidden="1">
      <c r="B442" s="3"/>
    </row>
    <row r="443" hidden="1">
      <c r="B443" s="3"/>
    </row>
    <row r="444" hidden="1">
      <c r="B444" s="3"/>
    </row>
    <row r="445" hidden="1">
      <c r="B445" s="3"/>
    </row>
    <row r="446" hidden="1">
      <c r="B446" s="3"/>
    </row>
    <row r="447" hidden="1">
      <c r="B447" s="3"/>
    </row>
    <row r="448" hidden="1">
      <c r="B448" s="3"/>
    </row>
    <row r="449" hidden="1">
      <c r="B449" s="3"/>
    </row>
    <row r="450" hidden="1">
      <c r="B450" s="3"/>
    </row>
    <row r="451" hidden="1">
      <c r="B451" s="3"/>
    </row>
    <row r="452" hidden="1">
      <c r="B452" s="3"/>
    </row>
    <row r="453" hidden="1">
      <c r="B453" s="3"/>
    </row>
    <row r="454" hidden="1">
      <c r="B454" s="3"/>
    </row>
    <row r="455" hidden="1">
      <c r="B455" s="3"/>
    </row>
    <row r="456" hidden="1">
      <c r="B456" s="3"/>
    </row>
    <row r="457" hidden="1">
      <c r="B457" s="3"/>
    </row>
    <row r="458" hidden="1">
      <c r="B458" s="3"/>
    </row>
    <row r="459" hidden="1">
      <c r="B459" s="3"/>
    </row>
    <row r="460" hidden="1">
      <c r="B460" s="3"/>
    </row>
    <row r="461" hidden="1">
      <c r="B461" s="3"/>
    </row>
    <row r="462" hidden="1">
      <c r="B462" s="3"/>
    </row>
    <row r="463" hidden="1">
      <c r="B463" s="3"/>
    </row>
    <row r="464" hidden="1">
      <c r="B464" s="3"/>
    </row>
    <row r="465" hidden="1">
      <c r="B465" s="3"/>
    </row>
    <row r="466" hidden="1">
      <c r="B466" s="3"/>
    </row>
    <row r="467" hidden="1">
      <c r="B467" s="3"/>
    </row>
    <row r="468" hidden="1">
      <c r="B468" s="3"/>
    </row>
    <row r="469" hidden="1">
      <c r="B469" s="3"/>
    </row>
    <row r="470" hidden="1">
      <c r="B470" s="3"/>
    </row>
    <row r="471" hidden="1">
      <c r="B471" s="3"/>
    </row>
    <row r="472" hidden="1">
      <c r="B472" s="3"/>
    </row>
    <row r="473" hidden="1">
      <c r="B473" s="3"/>
    </row>
    <row r="474" hidden="1">
      <c r="B474" s="3"/>
    </row>
    <row r="475" hidden="1">
      <c r="B475" s="3"/>
    </row>
    <row r="476" hidden="1">
      <c r="B476" s="3"/>
    </row>
    <row r="477" hidden="1">
      <c r="B477" s="3"/>
    </row>
    <row r="478" hidden="1">
      <c r="B478" s="3"/>
    </row>
    <row r="479" hidden="1">
      <c r="B479" s="3"/>
    </row>
    <row r="480" hidden="1">
      <c r="B480" s="3"/>
    </row>
    <row r="481" hidden="1">
      <c r="B481" s="3"/>
    </row>
    <row r="482" hidden="1">
      <c r="B482" s="3"/>
    </row>
    <row r="483" hidden="1">
      <c r="B483" s="3"/>
    </row>
    <row r="484" hidden="1">
      <c r="B484" s="3"/>
    </row>
    <row r="485" hidden="1">
      <c r="B485" s="3"/>
    </row>
    <row r="486" hidden="1">
      <c r="B486" s="3"/>
    </row>
    <row r="487" hidden="1">
      <c r="B487" s="3"/>
    </row>
    <row r="488" hidden="1">
      <c r="B488" s="3"/>
    </row>
    <row r="489" hidden="1">
      <c r="B489" s="3"/>
    </row>
    <row r="490" hidden="1">
      <c r="B490" s="3"/>
    </row>
    <row r="491" hidden="1">
      <c r="B491" s="3"/>
    </row>
    <row r="492" hidden="1">
      <c r="B492" s="3"/>
    </row>
    <row r="493" hidden="1">
      <c r="B493" s="3"/>
    </row>
    <row r="494" hidden="1">
      <c r="B494" s="3"/>
    </row>
    <row r="495" hidden="1">
      <c r="B495" s="3"/>
    </row>
    <row r="496" hidden="1">
      <c r="B496" s="3"/>
    </row>
    <row r="497" hidden="1">
      <c r="B497" s="3"/>
    </row>
    <row r="498" hidden="1">
      <c r="B498" s="3"/>
    </row>
    <row r="499" hidden="1">
      <c r="B499" s="3"/>
    </row>
    <row r="500" hidden="1">
      <c r="B500" s="3"/>
    </row>
    <row r="501" hidden="1">
      <c r="B501" s="3"/>
    </row>
    <row r="502" hidden="1">
      <c r="B502" s="3"/>
    </row>
    <row r="503" hidden="1">
      <c r="B503" s="3"/>
    </row>
    <row r="504" hidden="1">
      <c r="B504" s="3"/>
    </row>
    <row r="505" hidden="1">
      <c r="B505" s="3"/>
    </row>
    <row r="506" hidden="1">
      <c r="B506" s="3"/>
    </row>
    <row r="507" hidden="1">
      <c r="B507" s="3"/>
    </row>
    <row r="508" hidden="1">
      <c r="B508" s="3"/>
    </row>
    <row r="509" hidden="1">
      <c r="B509" s="3"/>
    </row>
    <row r="510" hidden="1">
      <c r="B510" s="3"/>
    </row>
    <row r="511" hidden="1">
      <c r="B511" s="3"/>
    </row>
    <row r="512" hidden="1">
      <c r="B512" s="3"/>
    </row>
    <row r="513" hidden="1">
      <c r="B513" s="3"/>
    </row>
    <row r="514" hidden="1">
      <c r="B514" s="3"/>
    </row>
    <row r="515" hidden="1">
      <c r="B515" s="3"/>
    </row>
    <row r="516" hidden="1">
      <c r="B516" s="3"/>
    </row>
    <row r="517" hidden="1">
      <c r="B517" s="3"/>
    </row>
    <row r="518" hidden="1">
      <c r="B518" s="3"/>
    </row>
    <row r="519" hidden="1">
      <c r="B519" s="3"/>
    </row>
    <row r="520" hidden="1">
      <c r="B520" s="3"/>
    </row>
    <row r="521" hidden="1">
      <c r="B521" s="3"/>
    </row>
    <row r="522" hidden="1">
      <c r="B522" s="3"/>
    </row>
    <row r="523" hidden="1">
      <c r="B523" s="3"/>
    </row>
    <row r="524" hidden="1">
      <c r="B524" s="3"/>
    </row>
    <row r="525" hidden="1">
      <c r="B525" s="3"/>
    </row>
    <row r="526" hidden="1">
      <c r="B526" s="3"/>
    </row>
    <row r="527" hidden="1">
      <c r="B527" s="3"/>
    </row>
    <row r="528" hidden="1">
      <c r="B528" s="3"/>
    </row>
    <row r="529" hidden="1">
      <c r="B529" s="3"/>
    </row>
    <row r="530" hidden="1">
      <c r="B530" s="3"/>
    </row>
    <row r="531" hidden="1">
      <c r="B531" s="3"/>
    </row>
    <row r="532" hidden="1">
      <c r="B532" s="3"/>
    </row>
    <row r="533" hidden="1">
      <c r="B533" s="3"/>
    </row>
    <row r="534" hidden="1">
      <c r="B534" s="3"/>
    </row>
    <row r="535" hidden="1">
      <c r="B535" s="3"/>
    </row>
    <row r="536" hidden="1">
      <c r="B536" s="3"/>
    </row>
    <row r="537" hidden="1">
      <c r="B537" s="3"/>
    </row>
    <row r="538" hidden="1">
      <c r="B538" s="3"/>
    </row>
    <row r="539" hidden="1">
      <c r="B539" s="3"/>
    </row>
    <row r="540" hidden="1">
      <c r="B540" s="3"/>
    </row>
    <row r="541" hidden="1">
      <c r="B541" s="3"/>
    </row>
    <row r="542" hidden="1">
      <c r="B542" s="3"/>
    </row>
    <row r="543" hidden="1">
      <c r="B543" s="3"/>
    </row>
    <row r="544" hidden="1">
      <c r="B544" s="3"/>
    </row>
    <row r="545" hidden="1">
      <c r="B545" s="3"/>
    </row>
    <row r="546" hidden="1">
      <c r="B546" s="3"/>
    </row>
    <row r="547" hidden="1">
      <c r="B547" s="3"/>
    </row>
    <row r="548" hidden="1">
      <c r="B548" s="3"/>
    </row>
    <row r="549" hidden="1">
      <c r="B549" s="3"/>
    </row>
    <row r="550" hidden="1">
      <c r="B550" s="3"/>
    </row>
    <row r="551" hidden="1">
      <c r="B551" s="3"/>
    </row>
    <row r="552" hidden="1">
      <c r="B552" s="3"/>
    </row>
    <row r="553" hidden="1">
      <c r="B553" s="3"/>
    </row>
    <row r="554" hidden="1">
      <c r="B554" s="3"/>
    </row>
    <row r="555" hidden="1">
      <c r="B555" s="3"/>
    </row>
    <row r="556" hidden="1">
      <c r="B556" s="3"/>
    </row>
    <row r="557" hidden="1">
      <c r="B557" s="3"/>
    </row>
    <row r="558" hidden="1">
      <c r="B558" s="3"/>
    </row>
    <row r="559" hidden="1">
      <c r="B559" s="3"/>
    </row>
    <row r="560" hidden="1">
      <c r="B560" s="3"/>
    </row>
    <row r="561" hidden="1">
      <c r="B561" s="3"/>
    </row>
    <row r="562" hidden="1">
      <c r="B562" s="3"/>
    </row>
    <row r="563" hidden="1">
      <c r="B563" s="3"/>
    </row>
    <row r="564" hidden="1">
      <c r="B564" s="3"/>
    </row>
    <row r="565" hidden="1">
      <c r="B565" s="3"/>
    </row>
    <row r="566" hidden="1">
      <c r="B566" s="3"/>
    </row>
    <row r="567" hidden="1">
      <c r="B567" s="3"/>
    </row>
    <row r="568" hidden="1">
      <c r="B568" s="3"/>
    </row>
    <row r="569" hidden="1">
      <c r="B569" s="3"/>
    </row>
    <row r="570" hidden="1">
      <c r="B570" s="3"/>
    </row>
    <row r="571" hidden="1">
      <c r="B571" s="3"/>
    </row>
    <row r="572" hidden="1">
      <c r="B572" s="3"/>
    </row>
    <row r="573" hidden="1">
      <c r="B573" s="3"/>
    </row>
    <row r="574" hidden="1">
      <c r="B574" s="3"/>
    </row>
    <row r="575" hidden="1">
      <c r="B575" s="3"/>
    </row>
    <row r="576" hidden="1">
      <c r="B576" s="3"/>
    </row>
    <row r="577" hidden="1">
      <c r="B577" s="3"/>
    </row>
    <row r="578" hidden="1">
      <c r="B578" s="3"/>
    </row>
    <row r="579" hidden="1">
      <c r="B579" s="3"/>
    </row>
    <row r="580" hidden="1">
      <c r="B580" s="3"/>
    </row>
    <row r="581" hidden="1">
      <c r="B581" s="3"/>
    </row>
    <row r="582" hidden="1">
      <c r="B582" s="3"/>
    </row>
    <row r="583" hidden="1">
      <c r="B583" s="3"/>
    </row>
    <row r="584" hidden="1">
      <c r="B584" s="3"/>
    </row>
    <row r="585" hidden="1">
      <c r="B585" s="3"/>
    </row>
    <row r="586" hidden="1">
      <c r="B586" s="3"/>
    </row>
    <row r="587" hidden="1">
      <c r="B587" s="3"/>
    </row>
    <row r="588" hidden="1">
      <c r="B588" s="3"/>
    </row>
    <row r="589" hidden="1">
      <c r="B589" s="3"/>
    </row>
    <row r="590" hidden="1">
      <c r="B590" s="3"/>
    </row>
    <row r="591" hidden="1">
      <c r="B591" s="3"/>
    </row>
    <row r="592" hidden="1">
      <c r="B592" s="3"/>
    </row>
    <row r="593" hidden="1">
      <c r="B593" s="3"/>
    </row>
    <row r="594" hidden="1">
      <c r="B594" s="3"/>
    </row>
    <row r="595" hidden="1">
      <c r="B595" s="3"/>
    </row>
    <row r="596" hidden="1">
      <c r="B596" s="3"/>
    </row>
    <row r="597" hidden="1">
      <c r="B597" s="3"/>
    </row>
    <row r="598" hidden="1">
      <c r="B598" s="3"/>
    </row>
    <row r="599" hidden="1">
      <c r="B599" s="3"/>
    </row>
    <row r="600" hidden="1">
      <c r="B600" s="3"/>
    </row>
    <row r="601" hidden="1">
      <c r="B601" s="3"/>
    </row>
    <row r="602" hidden="1">
      <c r="B602" s="3"/>
    </row>
    <row r="603" hidden="1">
      <c r="B603" s="3"/>
    </row>
    <row r="604" hidden="1">
      <c r="B604" s="3"/>
    </row>
    <row r="605" hidden="1">
      <c r="B605" s="3"/>
    </row>
    <row r="606" hidden="1">
      <c r="B606" s="3"/>
    </row>
    <row r="607" hidden="1">
      <c r="B607" s="3"/>
    </row>
    <row r="608" hidden="1">
      <c r="B608" s="3"/>
    </row>
    <row r="609" hidden="1">
      <c r="B609" s="3"/>
    </row>
    <row r="610" hidden="1">
      <c r="B610" s="3"/>
    </row>
    <row r="611" hidden="1">
      <c r="B611" s="3"/>
    </row>
    <row r="612" hidden="1">
      <c r="B612" s="3"/>
    </row>
    <row r="613" hidden="1">
      <c r="B613" s="3"/>
    </row>
    <row r="614" hidden="1">
      <c r="B614" s="3"/>
    </row>
    <row r="615" hidden="1">
      <c r="B615" s="3"/>
    </row>
    <row r="616" hidden="1">
      <c r="B616" s="3"/>
    </row>
    <row r="617" hidden="1">
      <c r="B617" s="3"/>
    </row>
    <row r="618" hidden="1">
      <c r="B618" s="3"/>
    </row>
    <row r="619" hidden="1">
      <c r="B619" s="3"/>
    </row>
    <row r="620" hidden="1">
      <c r="B620" s="3"/>
    </row>
    <row r="621" hidden="1">
      <c r="B621" s="3"/>
    </row>
    <row r="622" hidden="1">
      <c r="B622" s="3"/>
    </row>
    <row r="623" hidden="1">
      <c r="B623" s="3"/>
    </row>
    <row r="624" hidden="1">
      <c r="B624" s="3"/>
    </row>
    <row r="625" hidden="1">
      <c r="B625" s="3"/>
    </row>
    <row r="626" hidden="1">
      <c r="B626" s="3"/>
    </row>
    <row r="627" hidden="1">
      <c r="B627" s="3"/>
    </row>
    <row r="628" hidden="1">
      <c r="B628" s="3"/>
    </row>
    <row r="629" hidden="1">
      <c r="B629" s="3"/>
    </row>
    <row r="630" hidden="1">
      <c r="B630" s="3"/>
    </row>
    <row r="631" hidden="1">
      <c r="B631" s="3"/>
    </row>
    <row r="632" hidden="1">
      <c r="B632" s="3"/>
    </row>
    <row r="633" hidden="1">
      <c r="B633" s="3"/>
    </row>
    <row r="634" hidden="1">
      <c r="B634" s="3"/>
    </row>
    <row r="635" hidden="1">
      <c r="B635" s="3"/>
    </row>
    <row r="636" hidden="1">
      <c r="B636" s="3"/>
    </row>
    <row r="637" hidden="1">
      <c r="B637" s="3"/>
    </row>
    <row r="638" hidden="1">
      <c r="B638" s="3"/>
    </row>
    <row r="639" hidden="1">
      <c r="B639" s="3"/>
    </row>
    <row r="640" hidden="1">
      <c r="B640" s="3"/>
    </row>
    <row r="641" hidden="1">
      <c r="B641" s="3"/>
    </row>
    <row r="642" hidden="1">
      <c r="B642" s="3"/>
    </row>
    <row r="643" hidden="1">
      <c r="B643" s="3"/>
    </row>
    <row r="644" hidden="1">
      <c r="B644" s="3"/>
    </row>
    <row r="645" hidden="1">
      <c r="B645" s="3"/>
    </row>
    <row r="646" hidden="1">
      <c r="B646" s="3"/>
    </row>
    <row r="647" hidden="1">
      <c r="B647" s="3"/>
    </row>
    <row r="648" hidden="1">
      <c r="B648" s="3"/>
    </row>
    <row r="649" hidden="1">
      <c r="B649" s="3"/>
    </row>
    <row r="650" hidden="1">
      <c r="B650" s="3"/>
    </row>
    <row r="651" hidden="1">
      <c r="B651" s="3"/>
    </row>
    <row r="652" hidden="1">
      <c r="B652" s="3"/>
    </row>
    <row r="653" hidden="1">
      <c r="B653" s="3"/>
    </row>
    <row r="654" hidden="1">
      <c r="B654" s="3"/>
    </row>
    <row r="655" hidden="1">
      <c r="B655" s="3"/>
    </row>
    <row r="656" hidden="1">
      <c r="B656" s="3"/>
    </row>
    <row r="657" hidden="1">
      <c r="B657" s="3"/>
    </row>
    <row r="658" hidden="1">
      <c r="B658" s="3"/>
    </row>
    <row r="659" hidden="1">
      <c r="B659" s="3"/>
    </row>
    <row r="660" hidden="1">
      <c r="B660" s="3"/>
    </row>
    <row r="661" hidden="1">
      <c r="B661" s="3"/>
    </row>
    <row r="662" hidden="1">
      <c r="B662" s="3"/>
    </row>
    <row r="663" hidden="1">
      <c r="B663" s="3"/>
    </row>
    <row r="664" hidden="1">
      <c r="B664" s="3"/>
    </row>
    <row r="665" hidden="1">
      <c r="B665" s="3"/>
    </row>
    <row r="666" hidden="1">
      <c r="B666" s="3"/>
    </row>
    <row r="667" hidden="1">
      <c r="B667" s="3"/>
    </row>
    <row r="668" hidden="1">
      <c r="B668" s="3"/>
    </row>
    <row r="669" hidden="1">
      <c r="B669" s="3"/>
    </row>
    <row r="670" hidden="1">
      <c r="B670" s="3"/>
    </row>
    <row r="671" hidden="1">
      <c r="B671" s="3"/>
    </row>
    <row r="672" hidden="1">
      <c r="B672" s="3"/>
    </row>
    <row r="673" hidden="1">
      <c r="B673" s="3"/>
    </row>
    <row r="674" hidden="1">
      <c r="B674" s="3"/>
    </row>
    <row r="675" hidden="1">
      <c r="B675" s="3"/>
    </row>
    <row r="676" hidden="1">
      <c r="B676" s="3"/>
    </row>
    <row r="677" hidden="1">
      <c r="B677" s="3"/>
    </row>
    <row r="678" hidden="1">
      <c r="B678" s="3"/>
    </row>
    <row r="679" hidden="1">
      <c r="B679" s="3"/>
    </row>
    <row r="680" hidden="1">
      <c r="B680" s="3"/>
    </row>
    <row r="681" hidden="1">
      <c r="B681" s="3"/>
    </row>
    <row r="682" hidden="1">
      <c r="B682" s="3"/>
    </row>
    <row r="683" hidden="1">
      <c r="B683" s="3"/>
    </row>
    <row r="684" hidden="1">
      <c r="B684" s="3"/>
    </row>
    <row r="685" hidden="1">
      <c r="B685" s="3"/>
    </row>
    <row r="686" hidden="1">
      <c r="B686" s="3"/>
    </row>
    <row r="687" hidden="1">
      <c r="B687" s="3"/>
    </row>
    <row r="688" hidden="1">
      <c r="B688" s="3"/>
    </row>
    <row r="689" hidden="1">
      <c r="B689" s="3"/>
    </row>
    <row r="690" hidden="1">
      <c r="B690" s="3"/>
    </row>
    <row r="691" hidden="1">
      <c r="B691" s="3"/>
    </row>
    <row r="692" hidden="1">
      <c r="B692" s="3"/>
    </row>
    <row r="693" hidden="1">
      <c r="B693" s="3"/>
    </row>
    <row r="694" hidden="1">
      <c r="B694" s="3"/>
    </row>
    <row r="695" hidden="1">
      <c r="B695" s="3"/>
    </row>
    <row r="696" hidden="1">
      <c r="B696" s="3"/>
    </row>
    <row r="697" hidden="1">
      <c r="B697" s="3"/>
    </row>
    <row r="698" hidden="1">
      <c r="B698" s="3"/>
    </row>
    <row r="699" hidden="1">
      <c r="B699" s="3"/>
    </row>
    <row r="700" hidden="1">
      <c r="B700" s="3"/>
    </row>
    <row r="701" hidden="1">
      <c r="B701" s="3"/>
    </row>
    <row r="702" hidden="1">
      <c r="B702" s="3"/>
    </row>
    <row r="703" hidden="1">
      <c r="B703" s="3"/>
    </row>
    <row r="704" hidden="1">
      <c r="B704" s="3"/>
    </row>
    <row r="705" hidden="1">
      <c r="B705" s="3"/>
    </row>
    <row r="706" hidden="1">
      <c r="B706" s="3"/>
    </row>
    <row r="707" hidden="1">
      <c r="B707" s="3"/>
    </row>
    <row r="708" hidden="1">
      <c r="B708" s="3"/>
    </row>
    <row r="709" hidden="1">
      <c r="B709" s="3"/>
    </row>
    <row r="710" hidden="1">
      <c r="B710" s="3"/>
    </row>
    <row r="711" hidden="1">
      <c r="B711" s="3"/>
    </row>
    <row r="712" hidden="1">
      <c r="B712" s="3"/>
    </row>
    <row r="713" hidden="1">
      <c r="B713" s="3"/>
    </row>
    <row r="714" hidden="1">
      <c r="B714" s="3"/>
    </row>
    <row r="715" hidden="1">
      <c r="B715" s="3"/>
    </row>
    <row r="716" hidden="1">
      <c r="B716" s="3"/>
    </row>
    <row r="717" hidden="1">
      <c r="B717" s="3"/>
    </row>
    <row r="718" hidden="1">
      <c r="B718" s="3"/>
    </row>
    <row r="719" hidden="1">
      <c r="B719" s="3"/>
    </row>
    <row r="720" hidden="1">
      <c r="B720" s="3"/>
    </row>
    <row r="721" hidden="1">
      <c r="B721" s="3"/>
    </row>
    <row r="722" hidden="1">
      <c r="B722" s="3"/>
    </row>
    <row r="723" hidden="1">
      <c r="B723" s="3"/>
    </row>
    <row r="724" hidden="1">
      <c r="B724" s="3"/>
    </row>
    <row r="725" hidden="1">
      <c r="B725" s="3"/>
    </row>
    <row r="726" hidden="1">
      <c r="B726" s="3"/>
    </row>
    <row r="727" hidden="1">
      <c r="B727" s="3"/>
    </row>
    <row r="728" hidden="1">
      <c r="B728" s="3"/>
    </row>
    <row r="729" hidden="1">
      <c r="B729" s="3"/>
    </row>
    <row r="730" hidden="1">
      <c r="B730" s="3"/>
    </row>
    <row r="731" hidden="1">
      <c r="B731" s="3"/>
    </row>
    <row r="732" hidden="1">
      <c r="B732" s="3"/>
    </row>
    <row r="733" hidden="1">
      <c r="B733" s="3"/>
    </row>
    <row r="734" hidden="1">
      <c r="B734" s="3"/>
    </row>
    <row r="735" hidden="1">
      <c r="B735" s="3"/>
    </row>
    <row r="736" hidden="1">
      <c r="B736" s="3"/>
    </row>
    <row r="737" hidden="1">
      <c r="B737" s="3"/>
    </row>
    <row r="738" hidden="1">
      <c r="B738" s="3"/>
    </row>
    <row r="739" hidden="1">
      <c r="B739" s="3"/>
    </row>
    <row r="740" hidden="1">
      <c r="B740" s="3"/>
    </row>
    <row r="741" hidden="1">
      <c r="B741" s="3"/>
    </row>
    <row r="742" hidden="1">
      <c r="B742" s="3"/>
    </row>
    <row r="743" hidden="1">
      <c r="B743" s="3"/>
    </row>
    <row r="744" hidden="1">
      <c r="B744" s="3"/>
    </row>
    <row r="745" hidden="1">
      <c r="B745" s="3"/>
    </row>
    <row r="746" hidden="1">
      <c r="B746" s="3"/>
    </row>
    <row r="747" hidden="1">
      <c r="B747" s="3"/>
    </row>
    <row r="748" hidden="1">
      <c r="B748" s="3"/>
    </row>
    <row r="749" hidden="1">
      <c r="B749" s="3"/>
    </row>
    <row r="750" hidden="1">
      <c r="B750" s="3"/>
    </row>
    <row r="751" hidden="1">
      <c r="B751" s="3"/>
    </row>
    <row r="752" hidden="1">
      <c r="B752" s="3"/>
    </row>
    <row r="753" hidden="1">
      <c r="B753" s="3"/>
    </row>
    <row r="754" hidden="1">
      <c r="B754" s="3"/>
    </row>
    <row r="755" hidden="1">
      <c r="B755" s="3"/>
    </row>
    <row r="756" hidden="1">
      <c r="B756" s="3"/>
    </row>
    <row r="757" hidden="1">
      <c r="B757" s="3"/>
    </row>
    <row r="758" hidden="1">
      <c r="B758" s="3"/>
    </row>
    <row r="759" hidden="1">
      <c r="B759" s="3"/>
    </row>
    <row r="760" hidden="1">
      <c r="B760" s="3"/>
    </row>
    <row r="761" hidden="1">
      <c r="B761" s="3"/>
    </row>
    <row r="762" hidden="1">
      <c r="B762" s="3"/>
    </row>
    <row r="763" hidden="1">
      <c r="B763" s="3"/>
    </row>
    <row r="764" hidden="1">
      <c r="B764" s="3"/>
    </row>
    <row r="765" hidden="1">
      <c r="B765" s="3"/>
    </row>
    <row r="766" hidden="1">
      <c r="B766" s="3"/>
    </row>
    <row r="767" hidden="1">
      <c r="B767" s="3"/>
    </row>
    <row r="768" hidden="1">
      <c r="B768" s="3"/>
    </row>
    <row r="769" hidden="1">
      <c r="B769" s="3"/>
    </row>
    <row r="770" hidden="1">
      <c r="B770" s="3"/>
    </row>
    <row r="771" hidden="1">
      <c r="B771" s="3"/>
    </row>
    <row r="772" hidden="1">
      <c r="B772" s="3"/>
    </row>
    <row r="773" hidden="1">
      <c r="B773" s="3"/>
    </row>
    <row r="774" hidden="1">
      <c r="B774" s="3"/>
    </row>
    <row r="775" hidden="1">
      <c r="B775" s="3"/>
    </row>
    <row r="776" hidden="1">
      <c r="B776" s="3"/>
    </row>
    <row r="777" hidden="1">
      <c r="B777" s="3"/>
    </row>
    <row r="778" hidden="1">
      <c r="B778" s="3"/>
    </row>
    <row r="779" hidden="1">
      <c r="B779" s="3"/>
    </row>
    <row r="780" hidden="1">
      <c r="B780" s="3"/>
    </row>
    <row r="781" hidden="1">
      <c r="B781" s="3"/>
    </row>
    <row r="782" hidden="1">
      <c r="B782" s="3"/>
    </row>
    <row r="783" hidden="1">
      <c r="B783" s="3"/>
    </row>
    <row r="784" hidden="1">
      <c r="B784" s="3"/>
    </row>
    <row r="785" hidden="1">
      <c r="B785" s="3"/>
    </row>
    <row r="786" hidden="1">
      <c r="B786" s="3"/>
    </row>
    <row r="787" hidden="1">
      <c r="B787" s="3"/>
    </row>
    <row r="788" hidden="1">
      <c r="B788" s="3"/>
    </row>
    <row r="789" hidden="1">
      <c r="B789" s="3"/>
    </row>
    <row r="790" hidden="1">
      <c r="B790" s="3"/>
    </row>
    <row r="791" hidden="1">
      <c r="B791" s="3"/>
    </row>
    <row r="792" hidden="1">
      <c r="B792" s="3"/>
    </row>
    <row r="793" hidden="1">
      <c r="B793" s="3"/>
    </row>
    <row r="794" hidden="1">
      <c r="B794" s="3"/>
    </row>
    <row r="795" hidden="1">
      <c r="B795" s="3"/>
    </row>
    <row r="796" hidden="1">
      <c r="B796" s="3"/>
    </row>
    <row r="797" hidden="1">
      <c r="B797" s="3"/>
    </row>
    <row r="798" hidden="1">
      <c r="B798" s="3"/>
    </row>
    <row r="799" hidden="1">
      <c r="B799" s="3"/>
    </row>
    <row r="800" hidden="1">
      <c r="B800" s="3"/>
    </row>
    <row r="801" hidden="1">
      <c r="B801" s="3"/>
    </row>
    <row r="802" hidden="1">
      <c r="B802" s="3"/>
    </row>
    <row r="803" hidden="1">
      <c r="B803" s="3"/>
    </row>
    <row r="804" hidden="1">
      <c r="B804" s="3"/>
    </row>
    <row r="805" hidden="1">
      <c r="B805" s="3"/>
    </row>
    <row r="806" hidden="1">
      <c r="B806" s="3"/>
    </row>
    <row r="807" hidden="1">
      <c r="B807" s="3"/>
    </row>
    <row r="808" hidden="1">
      <c r="B808" s="3"/>
    </row>
    <row r="809" hidden="1">
      <c r="B809" s="3"/>
    </row>
    <row r="810" hidden="1">
      <c r="B810" s="3"/>
    </row>
    <row r="811" hidden="1">
      <c r="B811" s="3"/>
    </row>
    <row r="812" hidden="1">
      <c r="B812" s="3"/>
    </row>
    <row r="813" hidden="1">
      <c r="B813" s="3"/>
    </row>
    <row r="814" hidden="1">
      <c r="B814" s="3"/>
    </row>
    <row r="815" hidden="1">
      <c r="B815" s="3"/>
    </row>
    <row r="816" hidden="1">
      <c r="B816" s="3"/>
    </row>
    <row r="817" hidden="1">
      <c r="B817" s="3"/>
    </row>
    <row r="818" hidden="1">
      <c r="B818" s="3"/>
    </row>
    <row r="819" hidden="1">
      <c r="B819" s="3"/>
    </row>
    <row r="820" hidden="1">
      <c r="B820" s="3"/>
    </row>
    <row r="821" hidden="1">
      <c r="B821" s="3"/>
    </row>
    <row r="822" hidden="1">
      <c r="B822" s="3"/>
    </row>
    <row r="823" hidden="1">
      <c r="B823" s="3"/>
    </row>
    <row r="824" hidden="1">
      <c r="B824" s="3"/>
    </row>
    <row r="825" hidden="1">
      <c r="B825" s="3"/>
    </row>
    <row r="826" hidden="1">
      <c r="B826" s="3"/>
    </row>
    <row r="827" hidden="1">
      <c r="B827" s="3"/>
    </row>
    <row r="828" hidden="1">
      <c r="B828" s="3"/>
    </row>
    <row r="829" hidden="1">
      <c r="B829" s="3"/>
    </row>
    <row r="830" hidden="1">
      <c r="B830" s="3"/>
    </row>
    <row r="831" hidden="1">
      <c r="B831" s="3"/>
    </row>
    <row r="832" hidden="1">
      <c r="B832" s="3"/>
    </row>
    <row r="833" hidden="1">
      <c r="B833" s="3"/>
    </row>
    <row r="834" hidden="1">
      <c r="B834" s="3"/>
    </row>
    <row r="835" hidden="1">
      <c r="B835" s="3"/>
    </row>
    <row r="836" hidden="1">
      <c r="B836" s="3"/>
    </row>
    <row r="837" hidden="1">
      <c r="B837" s="3"/>
    </row>
    <row r="838" hidden="1">
      <c r="B838" s="3"/>
    </row>
    <row r="839" hidden="1">
      <c r="B839" s="3"/>
    </row>
    <row r="840" hidden="1">
      <c r="B840" s="3"/>
    </row>
    <row r="841" hidden="1">
      <c r="B841" s="3"/>
    </row>
    <row r="842" hidden="1">
      <c r="B842" s="3"/>
    </row>
    <row r="843" hidden="1">
      <c r="B843" s="3"/>
    </row>
    <row r="844" hidden="1">
      <c r="B844" s="3"/>
    </row>
    <row r="845" hidden="1">
      <c r="B845" s="3"/>
    </row>
    <row r="846" hidden="1">
      <c r="B846" s="3"/>
    </row>
    <row r="847" hidden="1">
      <c r="B847" s="3"/>
    </row>
    <row r="848" hidden="1">
      <c r="B848" s="3"/>
    </row>
    <row r="849" hidden="1">
      <c r="B849" s="3"/>
    </row>
    <row r="850" hidden="1">
      <c r="B850" s="3"/>
    </row>
    <row r="851" hidden="1">
      <c r="B851" s="3"/>
    </row>
    <row r="852" hidden="1">
      <c r="B852" s="3"/>
    </row>
    <row r="853" hidden="1">
      <c r="B853" s="3"/>
    </row>
    <row r="854" hidden="1">
      <c r="B854" s="3"/>
    </row>
    <row r="855" hidden="1">
      <c r="B855" s="3"/>
    </row>
    <row r="856" hidden="1">
      <c r="B856" s="3"/>
    </row>
    <row r="857" hidden="1">
      <c r="B857" s="3"/>
    </row>
    <row r="858" hidden="1">
      <c r="B858" s="3"/>
    </row>
    <row r="859" hidden="1">
      <c r="B859" s="3"/>
    </row>
    <row r="860" hidden="1">
      <c r="B860" s="3"/>
    </row>
    <row r="861" hidden="1">
      <c r="B861" s="3"/>
    </row>
    <row r="862" hidden="1">
      <c r="B862" s="3"/>
    </row>
    <row r="863" hidden="1">
      <c r="B863" s="3"/>
    </row>
    <row r="864" hidden="1">
      <c r="B864" s="3"/>
    </row>
    <row r="865" hidden="1">
      <c r="B865" s="3"/>
    </row>
    <row r="866" hidden="1">
      <c r="B866" s="3"/>
    </row>
    <row r="867" hidden="1">
      <c r="B867" s="3"/>
    </row>
    <row r="868" hidden="1">
      <c r="B868" s="3"/>
    </row>
    <row r="869" hidden="1">
      <c r="B869" s="3"/>
    </row>
    <row r="870" hidden="1">
      <c r="B870" s="3"/>
    </row>
    <row r="871" hidden="1">
      <c r="B871" s="3"/>
    </row>
    <row r="872" hidden="1">
      <c r="B872" s="3"/>
    </row>
    <row r="873" hidden="1">
      <c r="B873" s="3"/>
    </row>
    <row r="874" hidden="1">
      <c r="B874" s="3"/>
    </row>
    <row r="875" hidden="1">
      <c r="B875" s="3"/>
    </row>
    <row r="876" hidden="1">
      <c r="B876" s="3"/>
    </row>
    <row r="877" hidden="1">
      <c r="B877" s="3"/>
    </row>
    <row r="878" hidden="1">
      <c r="B878" s="3"/>
    </row>
    <row r="879" hidden="1">
      <c r="B879" s="3"/>
    </row>
    <row r="880" hidden="1">
      <c r="B880" s="3"/>
    </row>
    <row r="881" hidden="1">
      <c r="B881" s="3"/>
    </row>
    <row r="882" hidden="1">
      <c r="B882" s="3"/>
    </row>
    <row r="883" hidden="1">
      <c r="B883" s="3"/>
    </row>
    <row r="884" hidden="1">
      <c r="B884" s="3"/>
    </row>
    <row r="885" hidden="1">
      <c r="B885" s="3"/>
    </row>
    <row r="886" hidden="1">
      <c r="B886" s="3"/>
    </row>
    <row r="887" hidden="1">
      <c r="B887" s="3"/>
    </row>
    <row r="888" hidden="1">
      <c r="B888" s="3"/>
    </row>
    <row r="889" hidden="1">
      <c r="B889" s="3"/>
    </row>
    <row r="890" hidden="1">
      <c r="B890" s="3"/>
    </row>
    <row r="891" hidden="1">
      <c r="B891" s="3"/>
    </row>
    <row r="892" hidden="1">
      <c r="B892" s="3"/>
    </row>
    <row r="893" hidden="1">
      <c r="B893" s="3"/>
    </row>
    <row r="894" hidden="1">
      <c r="B894" s="3"/>
    </row>
    <row r="895" hidden="1">
      <c r="B895" s="3"/>
    </row>
    <row r="896" hidden="1">
      <c r="B896" s="3"/>
    </row>
    <row r="897" hidden="1">
      <c r="B897" s="3"/>
    </row>
    <row r="898" hidden="1">
      <c r="B898" s="3"/>
    </row>
    <row r="899" hidden="1">
      <c r="B899" s="3"/>
    </row>
    <row r="900" hidden="1">
      <c r="B900" s="3"/>
    </row>
    <row r="901" hidden="1">
      <c r="B901" s="3"/>
    </row>
    <row r="902" hidden="1">
      <c r="B902" s="3"/>
    </row>
    <row r="903" hidden="1">
      <c r="B903" s="3"/>
    </row>
    <row r="904" hidden="1">
      <c r="B904" s="3"/>
    </row>
    <row r="905" hidden="1">
      <c r="B905" s="3"/>
    </row>
    <row r="906" hidden="1">
      <c r="B906" s="3"/>
    </row>
    <row r="907" hidden="1">
      <c r="B907" s="3"/>
    </row>
    <row r="908" hidden="1">
      <c r="B908" s="3"/>
    </row>
    <row r="909" hidden="1">
      <c r="B909" s="3"/>
    </row>
    <row r="910" hidden="1">
      <c r="B910" s="3"/>
    </row>
    <row r="911" hidden="1">
      <c r="B911" s="3"/>
    </row>
    <row r="912" hidden="1">
      <c r="B912" s="3"/>
    </row>
    <row r="913" hidden="1">
      <c r="B913" s="3"/>
    </row>
    <row r="914" hidden="1">
      <c r="B914" s="3"/>
    </row>
    <row r="915" hidden="1">
      <c r="B915" s="3"/>
    </row>
    <row r="916" hidden="1">
      <c r="B916" s="3"/>
    </row>
    <row r="917" hidden="1">
      <c r="B917" s="3"/>
    </row>
    <row r="918">
      <c r="A918" s="2" t="s">
        <v>50</v>
      </c>
      <c r="B918" s="6">
        <v>75.0</v>
      </c>
      <c r="C918" s="2" t="s">
        <v>116</v>
      </c>
      <c r="D918" s="1" t="str">
        <f>VLOOKUP(B918,Dictionary!A:B,2,FALSE)</f>
        <v>Mensal</v>
      </c>
    </row>
    <row r="919">
      <c r="A919" s="2" t="s">
        <v>30</v>
      </c>
      <c r="B919" s="6">
        <v>25.0</v>
      </c>
      <c r="C919" s="2" t="s">
        <v>116</v>
      </c>
      <c r="D919" s="1" t="str">
        <f>VLOOKUP(B919,Dictionary!A:B,2,FALSE)</f>
        <v>Avulso</v>
      </c>
    </row>
    <row r="920">
      <c r="A920" s="2" t="s">
        <v>37</v>
      </c>
      <c r="B920" s="6">
        <v>25.0</v>
      </c>
      <c r="C920" s="2" t="s">
        <v>116</v>
      </c>
      <c r="D920" s="1" t="str">
        <f>VLOOKUP(B920,Dictionary!A:B,2,FALSE)</f>
        <v>Avulso</v>
      </c>
    </row>
    <row r="921">
      <c r="A921" s="2" t="s">
        <v>33</v>
      </c>
      <c r="B921" s="6">
        <v>25.0</v>
      </c>
      <c r="C921" s="2" t="s">
        <v>116</v>
      </c>
      <c r="D921" s="1" t="str">
        <f>VLOOKUP(B921,Dictionary!A:B,2,FALSE)</f>
        <v>Avulso</v>
      </c>
    </row>
    <row r="922">
      <c r="A922" s="2" t="s">
        <v>77</v>
      </c>
      <c r="B922" s="6">
        <v>25.0</v>
      </c>
      <c r="C922" s="2" t="s">
        <v>116</v>
      </c>
      <c r="D922" s="1" t="str">
        <f>VLOOKUP(B922,Dictionary!A:B,2,FALSE)</f>
        <v>Avulso</v>
      </c>
    </row>
    <row r="923">
      <c r="A923" s="2" t="s">
        <v>44</v>
      </c>
      <c r="B923" s="6">
        <v>25.0</v>
      </c>
      <c r="C923" s="2" t="s">
        <v>116</v>
      </c>
      <c r="D923" s="1" t="str">
        <f>VLOOKUP(B923,Dictionary!A:B,2,FALSE)</f>
        <v>Avulso</v>
      </c>
    </row>
    <row r="924">
      <c r="A924" s="2" t="s">
        <v>82</v>
      </c>
      <c r="B924" s="6">
        <v>-40.0</v>
      </c>
      <c r="C924" s="2" t="s">
        <v>116</v>
      </c>
      <c r="D924" s="1" t="str">
        <f>VLOOKUP(B924,Dictionary!A:B,2,FALSE)</f>
        <v>Goleiro App</v>
      </c>
    </row>
    <row r="925">
      <c r="A925" s="2" t="s">
        <v>82</v>
      </c>
      <c r="B925" s="6">
        <v>-40.0</v>
      </c>
      <c r="C925" s="2" t="s">
        <v>116</v>
      </c>
      <c r="D925" s="1" t="str">
        <f>VLOOKUP(B925,Dictionary!A:B,2,FALSE)</f>
        <v>Goleiro App</v>
      </c>
    </row>
    <row r="926">
      <c r="A926" s="2" t="s">
        <v>119</v>
      </c>
      <c r="B926" s="6">
        <v>25.0</v>
      </c>
      <c r="C926" s="2" t="s">
        <v>116</v>
      </c>
      <c r="D926" s="1" t="str">
        <f>VLOOKUP(B926,Dictionary!A:B,2,FALSE)</f>
        <v>Avulso</v>
      </c>
    </row>
    <row r="927">
      <c r="A927" s="2" t="s">
        <v>120</v>
      </c>
      <c r="B927" s="6">
        <v>25.0</v>
      </c>
      <c r="C927" s="2" t="s">
        <v>116</v>
      </c>
      <c r="D927" s="1" t="str">
        <f>VLOOKUP(B927,Dictionary!A:B,2,FALSE)</f>
        <v>Avulso</v>
      </c>
    </row>
    <row r="928">
      <c r="A928" s="2" t="s">
        <v>121</v>
      </c>
      <c r="B928" s="6">
        <v>25.0</v>
      </c>
      <c r="C928" s="2" t="s">
        <v>116</v>
      </c>
      <c r="D928" s="1" t="str">
        <f>VLOOKUP(B928,Dictionary!A:B,2,FALSE)</f>
        <v>Avulso</v>
      </c>
    </row>
    <row r="929">
      <c r="A929" s="2" t="s">
        <v>122</v>
      </c>
      <c r="B929" s="6">
        <v>25.0</v>
      </c>
      <c r="C929" s="2" t="s">
        <v>116</v>
      </c>
      <c r="D929" s="1" t="str">
        <f>VLOOKUP(B929,Dictionary!A:B,2,FALSE)</f>
        <v>Avulso</v>
      </c>
    </row>
    <row r="930">
      <c r="A930" s="2" t="s">
        <v>47</v>
      </c>
      <c r="B930" s="6">
        <v>25.0</v>
      </c>
      <c r="C930" s="2" t="s">
        <v>116</v>
      </c>
      <c r="D930" s="1" t="str">
        <f>VLOOKUP(B930,Dictionary!A:B,2,FALSE)</f>
        <v>Avulso</v>
      </c>
    </row>
    <row r="931">
      <c r="A931" s="2" t="s">
        <v>51</v>
      </c>
      <c r="B931" s="6">
        <v>25.0</v>
      </c>
      <c r="C931" s="2" t="s">
        <v>116</v>
      </c>
      <c r="D931" s="1" t="str">
        <f>VLOOKUP(B931,Dictionary!A:B,2,FALSE)</f>
        <v>Avulso</v>
      </c>
    </row>
    <row r="932">
      <c r="A932" s="2" t="s">
        <v>29</v>
      </c>
      <c r="B932" s="6">
        <v>25.0</v>
      </c>
      <c r="C932" s="2" t="s">
        <v>116</v>
      </c>
      <c r="D932" s="1" t="str">
        <f>VLOOKUP(B932,Dictionary!A:B,2,FALSE)</f>
        <v>Avulso</v>
      </c>
    </row>
    <row r="933">
      <c r="A933" s="2" t="s">
        <v>28</v>
      </c>
      <c r="B933" s="6">
        <v>25.0</v>
      </c>
      <c r="C933" s="2" t="s">
        <v>116</v>
      </c>
      <c r="D933" s="1" t="str">
        <f>VLOOKUP(B933,Dictionary!A:B,2,FALSE)</f>
        <v>Avulso</v>
      </c>
    </row>
    <row r="934">
      <c r="A934" s="2" t="s">
        <v>38</v>
      </c>
      <c r="B934" s="6">
        <v>25.0</v>
      </c>
      <c r="C934" s="2" t="s">
        <v>116</v>
      </c>
      <c r="D934" s="1" t="str">
        <f>VLOOKUP(B934,Dictionary!A:B,2,FALSE)</f>
        <v>Avulso</v>
      </c>
    </row>
    <row r="935">
      <c r="A935" s="2" t="s">
        <v>123</v>
      </c>
      <c r="B935" s="6">
        <v>25.0</v>
      </c>
      <c r="C935" s="2" t="s">
        <v>116</v>
      </c>
      <c r="D935" s="1" t="str">
        <f>VLOOKUP(B935,Dictionary!A:B,2,FALSE)</f>
        <v>Avulso</v>
      </c>
    </row>
    <row r="936">
      <c r="A936" s="2" t="s">
        <v>52</v>
      </c>
      <c r="B936" s="6">
        <v>25.0</v>
      </c>
      <c r="C936" s="2" t="s">
        <v>116</v>
      </c>
      <c r="D936" s="1" t="str">
        <f>VLOOKUP(B936,Dictionary!A:B,2,FALSE)</f>
        <v>Avulso</v>
      </c>
    </row>
    <row r="937">
      <c r="A937" s="2" t="s">
        <v>119</v>
      </c>
      <c r="B937" s="6">
        <v>25.0</v>
      </c>
      <c r="C937" s="2" t="s">
        <v>116</v>
      </c>
      <c r="D937" s="1" t="str">
        <f>VLOOKUP(B937,Dictionary!A:B,2,FALSE)</f>
        <v>Avulso</v>
      </c>
    </row>
    <row r="938">
      <c r="A938" s="2" t="s">
        <v>82</v>
      </c>
      <c r="B938" s="6">
        <v>-30.0</v>
      </c>
      <c r="C938" s="2" t="s">
        <v>116</v>
      </c>
      <c r="D938" s="1" t="str">
        <f>VLOOKUP(B938,Dictionary!A:B,2,FALSE)</f>
        <v>Goleiro App (por fora)</v>
      </c>
    </row>
    <row r="939">
      <c r="A939" s="2" t="s">
        <v>37</v>
      </c>
      <c r="B939" s="6">
        <v>25.0</v>
      </c>
      <c r="C939" s="2" t="s">
        <v>116</v>
      </c>
      <c r="D939" s="1" t="str">
        <f>VLOOKUP(B939,Dictionary!A:B,2,FALSE)</f>
        <v>Avulso</v>
      </c>
    </row>
    <row r="940">
      <c r="A940" s="2" t="s">
        <v>34</v>
      </c>
      <c r="B940" s="6">
        <v>75.0</v>
      </c>
      <c r="C940" s="2" t="s">
        <v>124</v>
      </c>
      <c r="D940" s="1" t="str">
        <f>VLOOKUP(B940,Dictionary!A:B,2,FALSE)</f>
        <v>Mensal</v>
      </c>
    </row>
    <row r="941">
      <c r="A941" s="2" t="s">
        <v>125</v>
      </c>
      <c r="B941" s="6">
        <v>75.0</v>
      </c>
      <c r="C941" s="2" t="s">
        <v>124</v>
      </c>
      <c r="D941" s="1" t="str">
        <f>VLOOKUP(B941,Dictionary!A:B,2,FALSE)</f>
        <v>Mensal</v>
      </c>
    </row>
    <row r="942">
      <c r="A942" s="2" t="s">
        <v>45</v>
      </c>
      <c r="B942" s="6">
        <v>75.0</v>
      </c>
      <c r="C942" s="2" t="s">
        <v>124</v>
      </c>
      <c r="D942" s="1" t="str">
        <f>VLOOKUP(B942,Dictionary!A:B,2,FALSE)</f>
        <v>Mensal</v>
      </c>
    </row>
    <row r="943">
      <c r="A943" s="2" t="s">
        <v>41</v>
      </c>
      <c r="B943" s="6">
        <v>75.0</v>
      </c>
      <c r="C943" s="2" t="s">
        <v>124</v>
      </c>
      <c r="D943" s="1" t="str">
        <f>VLOOKUP(B943,Dictionary!A:B,2,FALSE)</f>
        <v>Mensal</v>
      </c>
    </row>
    <row r="944">
      <c r="A944" s="2" t="s">
        <v>52</v>
      </c>
      <c r="B944" s="6">
        <v>75.0</v>
      </c>
      <c r="C944" s="2" t="s">
        <v>124</v>
      </c>
      <c r="D944" s="1" t="str">
        <f>VLOOKUP(B944,Dictionary!A:B,2,FALSE)</f>
        <v>Mensal</v>
      </c>
    </row>
    <row r="945">
      <c r="A945" s="2" t="s">
        <v>126</v>
      </c>
      <c r="B945" s="6">
        <v>75.0</v>
      </c>
      <c r="C945" s="2" t="s">
        <v>124</v>
      </c>
      <c r="D945" s="1" t="str">
        <f>VLOOKUP(B945,Dictionary!A:B,2,FALSE)</f>
        <v>Mensal</v>
      </c>
    </row>
    <row r="946">
      <c r="A946" s="2" t="s">
        <v>50</v>
      </c>
      <c r="B946" s="6">
        <v>75.0</v>
      </c>
      <c r="C946" s="2" t="s">
        <v>124</v>
      </c>
      <c r="D946" s="1" t="str">
        <f>VLOOKUP(B946,Dictionary!A:B,2,FALSE)</f>
        <v>Mensal</v>
      </c>
    </row>
    <row r="947">
      <c r="A947" s="2" t="s">
        <v>38</v>
      </c>
      <c r="B947" s="6">
        <v>75.0</v>
      </c>
      <c r="C947" s="2" t="s">
        <v>124</v>
      </c>
      <c r="D947" s="1" t="str">
        <f>VLOOKUP(B947,Dictionary!A:B,2,FALSE)</f>
        <v>Mensal</v>
      </c>
    </row>
    <row r="948">
      <c r="A948" s="2" t="s">
        <v>82</v>
      </c>
      <c r="B948" s="6">
        <v>-30.0</v>
      </c>
      <c r="C948" s="2" t="s">
        <v>124</v>
      </c>
      <c r="D948" s="1" t="str">
        <f>VLOOKUP(B948,Dictionary!A:B,2,FALSE)</f>
        <v>Goleiro App (por fora)</v>
      </c>
    </row>
    <row r="949">
      <c r="A949" s="2" t="s">
        <v>104</v>
      </c>
      <c r="B949" s="6">
        <v>75.0</v>
      </c>
      <c r="C949" s="2" t="s">
        <v>124</v>
      </c>
      <c r="D949" s="1" t="str">
        <f>VLOOKUP(B949,Dictionary!A:B,2,FALSE)</f>
        <v>Mensal</v>
      </c>
    </row>
    <row r="950">
      <c r="A950" s="2" t="s">
        <v>46</v>
      </c>
      <c r="B950" s="6">
        <v>75.0</v>
      </c>
      <c r="C950" s="2" t="s">
        <v>124</v>
      </c>
      <c r="D950" s="1" t="str">
        <f>VLOOKUP(B950,Dictionary!A:B,2,FALSE)</f>
        <v>Mensal</v>
      </c>
    </row>
    <row r="951">
      <c r="A951" s="2" t="s">
        <v>51</v>
      </c>
      <c r="B951" s="6">
        <v>75.0</v>
      </c>
      <c r="C951" s="2" t="s">
        <v>124</v>
      </c>
      <c r="D951" s="1" t="str">
        <f>VLOOKUP(B951,Dictionary!A:B,2,FALSE)</f>
        <v>Mensal</v>
      </c>
    </row>
    <row r="952">
      <c r="A952" s="2" t="s">
        <v>127</v>
      </c>
      <c r="B952" s="6">
        <v>-920.0</v>
      </c>
      <c r="C952" s="2" t="s">
        <v>124</v>
      </c>
      <c r="D952" s="1" t="str">
        <f>VLOOKUP(B952,Dictionary!A:B,2,FALSE)</f>
        <v>Quadra 4 jogos</v>
      </c>
    </row>
    <row r="953">
      <c r="A953" s="2" t="s">
        <v>82</v>
      </c>
      <c r="B953" s="6">
        <v>-70.0</v>
      </c>
      <c r="C953" s="2" t="s">
        <v>124</v>
      </c>
      <c r="D953" s="2" t="s">
        <v>128</v>
      </c>
    </row>
    <row r="954">
      <c r="A954" s="2" t="s">
        <v>28</v>
      </c>
      <c r="B954" s="6">
        <v>75.0</v>
      </c>
      <c r="C954" s="2" t="s">
        <v>124</v>
      </c>
      <c r="D954" s="1" t="str">
        <f>VLOOKUP(B954,Dictionary!A:B,2,FALSE)</f>
        <v>Mensal</v>
      </c>
    </row>
    <row r="955">
      <c r="A955" s="2" t="s">
        <v>36</v>
      </c>
      <c r="B955" s="6">
        <v>25.0</v>
      </c>
      <c r="C955" s="2" t="s">
        <v>124</v>
      </c>
      <c r="D955" s="1" t="str">
        <f>VLOOKUP(B955,Dictionary!A:B,2,FALSE)</f>
        <v>Avulso</v>
      </c>
    </row>
    <row r="956">
      <c r="A956" s="2" t="s">
        <v>47</v>
      </c>
      <c r="B956" s="6">
        <v>25.0</v>
      </c>
      <c r="C956" s="2" t="s">
        <v>124</v>
      </c>
      <c r="D956" s="1" t="str">
        <f>VLOOKUP(B956,Dictionary!A:B,2,FALSE)</f>
        <v>Avulso</v>
      </c>
    </row>
    <row r="957">
      <c r="A957" s="2" t="s">
        <v>31</v>
      </c>
      <c r="B957" s="6">
        <v>25.0</v>
      </c>
      <c r="C957" s="2" t="s">
        <v>124</v>
      </c>
      <c r="D957" s="1" t="str">
        <f>VLOOKUP(B957,Dictionary!A:B,2,FALSE)</f>
        <v>Avulso</v>
      </c>
    </row>
    <row r="958">
      <c r="A958" s="2" t="s">
        <v>37</v>
      </c>
      <c r="B958" s="6">
        <v>75.0</v>
      </c>
      <c r="C958" s="2" t="s">
        <v>124</v>
      </c>
      <c r="D958" s="1" t="str">
        <f>VLOOKUP(B958,Dictionary!A:B,2,FALSE)</f>
        <v>Mensal</v>
      </c>
    </row>
    <row r="959">
      <c r="A959" s="2" t="s">
        <v>30</v>
      </c>
      <c r="B959" s="6">
        <v>25.0</v>
      </c>
      <c r="C959" s="2" t="s">
        <v>124</v>
      </c>
      <c r="D959" s="1" t="str">
        <f>VLOOKUP(B959,Dictionary!A:B,2,FALSE)</f>
        <v>Avulso</v>
      </c>
    </row>
    <row r="960">
      <c r="A960" s="2" t="s">
        <v>54</v>
      </c>
      <c r="B960" s="6">
        <v>25.0</v>
      </c>
      <c r="C960" s="2" t="s">
        <v>124</v>
      </c>
      <c r="D960" s="1" t="str">
        <f>VLOOKUP(B960,Dictionary!A:B,2,FALSE)</f>
        <v>Avulso</v>
      </c>
    </row>
    <row r="961">
      <c r="A961" s="2" t="s">
        <v>82</v>
      </c>
      <c r="B961" s="6">
        <v>-40.0</v>
      </c>
      <c r="C961" s="2" t="s">
        <v>124</v>
      </c>
      <c r="D961" s="1" t="str">
        <f>VLOOKUP(B961,Dictionary!A:B,2,FALSE)</f>
        <v>Goleiro App</v>
      </c>
    </row>
    <row r="962">
      <c r="A962" s="2" t="s">
        <v>129</v>
      </c>
      <c r="B962" s="6">
        <v>-30.0</v>
      </c>
      <c r="C962" s="2" t="s">
        <v>124</v>
      </c>
      <c r="D962" s="1" t="str">
        <f>VLOOKUP(B962,Dictionary!A:B,2,FALSE)</f>
        <v>Goleiro App (por fora)</v>
      </c>
    </row>
    <row r="963">
      <c r="A963" s="2" t="s">
        <v>129</v>
      </c>
      <c r="B963" s="6">
        <v>-30.0</v>
      </c>
      <c r="C963" s="2" t="s">
        <v>124</v>
      </c>
      <c r="D963" s="1" t="str">
        <f>VLOOKUP(B963,Dictionary!A:B,2,FALSE)</f>
        <v>Goleiro App (por fora)</v>
      </c>
    </row>
    <row r="964">
      <c r="A964" s="2" t="s">
        <v>32</v>
      </c>
      <c r="B964" s="6">
        <v>-690.0</v>
      </c>
      <c r="C964" s="2" t="s">
        <v>130</v>
      </c>
      <c r="D964" s="1" t="str">
        <f>VLOOKUP(B964,Dictionary!A:B,2,FALSE)</f>
        <v>Quadra 3 jogos</v>
      </c>
    </row>
    <row r="965">
      <c r="A965" s="2" t="s">
        <v>129</v>
      </c>
      <c r="B965" s="6">
        <v>-30.0</v>
      </c>
      <c r="C965" s="2" t="s">
        <v>130</v>
      </c>
      <c r="D965" s="1" t="str">
        <f>VLOOKUP(B965,Dictionary!A:B,2,FALSE)</f>
        <v>Goleiro App (por fora)</v>
      </c>
    </row>
    <row r="966">
      <c r="A966" s="2" t="s">
        <v>82</v>
      </c>
      <c r="B966" s="6">
        <v>-40.0</v>
      </c>
      <c r="C966" s="2" t="s">
        <v>130</v>
      </c>
      <c r="D966" s="1" t="str">
        <f>VLOOKUP(B966,Dictionary!A:B,2,FALSE)</f>
        <v>Goleiro App</v>
      </c>
    </row>
    <row r="967">
      <c r="A967" s="2" t="s">
        <v>39</v>
      </c>
      <c r="B967" s="6">
        <v>60.0</v>
      </c>
      <c r="C967" s="2" t="s">
        <v>130</v>
      </c>
      <c r="D967" s="1" t="str">
        <f>VLOOKUP(B967,Dictionary!A:B,2,FALSE)</f>
        <v>Mensal</v>
      </c>
    </row>
    <row r="968">
      <c r="A968" s="2" t="s">
        <v>52</v>
      </c>
      <c r="B968" s="6">
        <v>60.0</v>
      </c>
      <c r="C968" s="2" t="s">
        <v>130</v>
      </c>
      <c r="D968" s="1" t="str">
        <f>VLOOKUP(B968,Dictionary!A:B,2,FALSE)</f>
        <v>Mensal</v>
      </c>
    </row>
    <row r="969">
      <c r="A969" s="2" t="s">
        <v>29</v>
      </c>
      <c r="B969" s="6">
        <v>25.0</v>
      </c>
      <c r="C969" s="2" t="s">
        <v>130</v>
      </c>
      <c r="D969" s="1" t="str">
        <f>VLOOKUP(B969,Dictionary!A:B,2,FALSE)</f>
        <v>Avulso</v>
      </c>
    </row>
    <row r="970">
      <c r="A970" s="2" t="s">
        <v>41</v>
      </c>
      <c r="B970" s="6">
        <v>60.0</v>
      </c>
      <c r="C970" s="2" t="s">
        <v>130</v>
      </c>
      <c r="D970" s="1" t="str">
        <f>VLOOKUP(B970,Dictionary!A:B,2,FALSE)</f>
        <v>Mensal</v>
      </c>
    </row>
    <row r="971">
      <c r="A971" s="2" t="s">
        <v>50</v>
      </c>
      <c r="B971" s="6">
        <v>60.0</v>
      </c>
      <c r="C971" s="2" t="s">
        <v>130</v>
      </c>
      <c r="D971" s="1" t="str">
        <f>VLOOKUP(B971,Dictionary!A:B,2,FALSE)</f>
        <v>Mensal</v>
      </c>
    </row>
    <row r="972">
      <c r="A972" s="2" t="s">
        <v>34</v>
      </c>
      <c r="B972" s="6">
        <v>60.0</v>
      </c>
      <c r="C972" s="2" t="s">
        <v>130</v>
      </c>
      <c r="D972" s="1" t="str">
        <f>VLOOKUP(B972,Dictionary!A:B,2,FALSE)</f>
        <v>Mensal</v>
      </c>
    </row>
    <row r="973">
      <c r="A973" s="2" t="s">
        <v>125</v>
      </c>
      <c r="B973" s="6">
        <v>60.0</v>
      </c>
      <c r="C973" s="2" t="s">
        <v>130</v>
      </c>
      <c r="D973" s="1" t="str">
        <f>VLOOKUP(B973,Dictionary!A:B,2,FALSE)</f>
        <v>Mensal</v>
      </c>
    </row>
    <row r="974">
      <c r="A974" s="2" t="s">
        <v>51</v>
      </c>
      <c r="B974" s="6">
        <v>60.0</v>
      </c>
      <c r="C974" s="2" t="s">
        <v>130</v>
      </c>
      <c r="D974" s="1" t="str">
        <f>VLOOKUP(B974,Dictionary!A:B,2,FALSE)</f>
        <v>Mensal</v>
      </c>
    </row>
    <row r="975">
      <c r="A975" s="2" t="s">
        <v>36</v>
      </c>
      <c r="B975" s="6">
        <v>25.0</v>
      </c>
      <c r="C975" s="2" t="s">
        <v>130</v>
      </c>
      <c r="D975" s="1" t="str">
        <f>VLOOKUP(B975,Dictionary!A:B,2,FALSE)</f>
        <v>Avulso</v>
      </c>
    </row>
    <row r="976">
      <c r="A976" s="2" t="s">
        <v>47</v>
      </c>
      <c r="B976" s="6">
        <v>60.0</v>
      </c>
      <c r="C976" s="2" t="s">
        <v>130</v>
      </c>
      <c r="D976" s="1" t="str">
        <f>VLOOKUP(B976,Dictionary!A:B,2,FALSE)</f>
        <v>Mensal</v>
      </c>
    </row>
    <row r="977">
      <c r="A977" s="2" t="s">
        <v>104</v>
      </c>
      <c r="B977" s="6">
        <v>60.0</v>
      </c>
      <c r="C977" s="2" t="s">
        <v>130</v>
      </c>
      <c r="D977" s="1" t="str">
        <f>VLOOKUP(B977,Dictionary!A:B,2,FALSE)</f>
        <v>Mensal</v>
      </c>
    </row>
    <row r="978">
      <c r="A978" s="2" t="s">
        <v>46</v>
      </c>
      <c r="B978" s="6">
        <v>60.0</v>
      </c>
      <c r="C978" s="2" t="s">
        <v>130</v>
      </c>
      <c r="D978" s="1" t="str">
        <f>VLOOKUP(B978,Dictionary!A:B,2,FALSE)</f>
        <v>Mensal</v>
      </c>
    </row>
    <row r="979">
      <c r="A979" s="2" t="s">
        <v>99</v>
      </c>
      <c r="B979" s="6">
        <v>25.0</v>
      </c>
      <c r="C979" s="2" t="s">
        <v>130</v>
      </c>
      <c r="D979" s="1" t="str">
        <f>VLOOKUP(B979,Dictionary!A:B,2,FALSE)</f>
        <v>Avulso</v>
      </c>
    </row>
    <row r="980">
      <c r="A980" s="2" t="s">
        <v>89</v>
      </c>
      <c r="B980" s="6">
        <v>25.0</v>
      </c>
      <c r="C980" s="2" t="s">
        <v>130</v>
      </c>
      <c r="D980" s="1" t="str">
        <f>VLOOKUP(B980,Dictionary!A:B,2,FALSE)</f>
        <v>Avulso</v>
      </c>
    </row>
    <row r="981">
      <c r="A981" s="2" t="s">
        <v>37</v>
      </c>
      <c r="B981" s="6">
        <v>60.0</v>
      </c>
      <c r="C981" s="2" t="s">
        <v>130</v>
      </c>
      <c r="D981" s="1" t="str">
        <f>VLOOKUP(B981,Dictionary!A:B,2,FALSE)</f>
        <v>Mensal</v>
      </c>
    </row>
    <row r="982">
      <c r="A982" s="2" t="s">
        <v>82</v>
      </c>
      <c r="B982" s="6">
        <v>-30.0</v>
      </c>
      <c r="C982" s="2" t="s">
        <v>130</v>
      </c>
      <c r="D982" s="1" t="str">
        <f>VLOOKUP(B982,Dictionary!A:B,2,FALSE)</f>
        <v>Goleiro App (por fora)</v>
      </c>
    </row>
    <row r="983">
      <c r="A983" s="2" t="s">
        <v>82</v>
      </c>
      <c r="B983" s="6">
        <v>-40.0</v>
      </c>
      <c r="C983" s="2" t="s">
        <v>130</v>
      </c>
      <c r="D983" s="1" t="str">
        <f>VLOOKUP(B983,Dictionary!A:B,2,FALSE)</f>
        <v>Goleiro App</v>
      </c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  <row r="1001">
      <c r="B1001" s="3"/>
    </row>
    <row r="1002">
      <c r="B1002" s="3"/>
    </row>
    <row r="1003">
      <c r="B1003" s="3"/>
    </row>
    <row r="1004">
      <c r="B1004" s="3"/>
    </row>
    <row r="1005">
      <c r="B1005" s="3"/>
    </row>
    <row r="1006">
      <c r="B1006" s="3"/>
    </row>
    <row r="1007">
      <c r="B1007" s="3"/>
    </row>
    <row r="1008">
      <c r="B1008" s="3"/>
    </row>
    <row r="1009">
      <c r="B1009" s="3"/>
    </row>
    <row r="1010">
      <c r="B1010" s="3"/>
    </row>
    <row r="1011">
      <c r="B1011" s="3"/>
    </row>
    <row r="1012">
      <c r="B1012" s="3"/>
    </row>
    <row r="1013">
      <c r="B1013" s="3"/>
    </row>
    <row r="1014">
      <c r="B1014" s="3"/>
    </row>
    <row r="1015">
      <c r="B1015" s="3"/>
    </row>
    <row r="1016">
      <c r="B1016" s="3"/>
    </row>
    <row r="1017">
      <c r="B1017" s="3"/>
    </row>
    <row r="1018">
      <c r="B1018" s="3"/>
    </row>
    <row r="1019">
      <c r="B1019" s="3"/>
    </row>
    <row r="1020">
      <c r="B1020" s="3"/>
    </row>
    <row r="1021">
      <c r="B1021" s="3"/>
    </row>
    <row r="1022">
      <c r="B1022" s="3"/>
    </row>
    <row r="1023">
      <c r="B1023" s="3"/>
    </row>
    <row r="1024">
      <c r="B1024" s="3"/>
    </row>
    <row r="1025">
      <c r="B1025" s="3"/>
    </row>
    <row r="1026">
      <c r="B1026" s="3"/>
    </row>
    <row r="1027">
      <c r="B1027" s="3"/>
    </row>
    <row r="1028">
      <c r="B1028" s="3"/>
    </row>
    <row r="1029">
      <c r="B1029" s="3"/>
    </row>
    <row r="1030">
      <c r="B1030" s="3"/>
    </row>
    <row r="1031">
      <c r="B1031" s="3"/>
    </row>
    <row r="1032">
      <c r="B1032" s="3"/>
    </row>
    <row r="1033">
      <c r="B1033" s="3"/>
    </row>
    <row r="1034">
      <c r="B1034" s="3"/>
    </row>
    <row r="1035">
      <c r="B1035" s="3"/>
    </row>
    <row r="1036">
      <c r="B1036" s="3"/>
    </row>
    <row r="1037">
      <c r="B1037" s="3"/>
    </row>
    <row r="1038">
      <c r="B1038" s="3"/>
    </row>
    <row r="1039">
      <c r="B1039" s="3"/>
    </row>
    <row r="1040">
      <c r="B1040" s="3"/>
    </row>
    <row r="1041">
      <c r="B1041" s="3"/>
    </row>
    <row r="1042">
      <c r="B1042" s="3"/>
    </row>
    <row r="1043">
      <c r="B1043" s="3"/>
    </row>
    <row r="1044">
      <c r="B1044" s="3"/>
    </row>
    <row r="1045">
      <c r="B1045" s="3"/>
    </row>
    <row r="1046">
      <c r="B1046" s="3"/>
    </row>
    <row r="1047">
      <c r="B1047" s="3"/>
    </row>
    <row r="1048">
      <c r="B1048" s="3"/>
    </row>
    <row r="1049">
      <c r="B1049" s="3"/>
    </row>
    <row r="1050">
      <c r="B1050" s="3"/>
    </row>
    <row r="1051">
      <c r="B1051" s="3"/>
    </row>
    <row r="1052">
      <c r="B1052" s="3"/>
    </row>
    <row r="1053">
      <c r="B1053" s="3"/>
    </row>
    <row r="1054">
      <c r="B1054" s="3"/>
    </row>
    <row r="1055">
      <c r="B1055" s="3"/>
    </row>
    <row r="1056">
      <c r="B1056" s="3"/>
    </row>
    <row r="1057">
      <c r="B1057" s="3"/>
    </row>
    <row r="1058">
      <c r="B1058" s="3"/>
    </row>
    <row r="1059">
      <c r="B1059" s="3"/>
    </row>
    <row r="1060">
      <c r="B1060" s="3"/>
    </row>
    <row r="1061">
      <c r="B1061" s="3"/>
    </row>
    <row r="1062">
      <c r="B1062" s="3"/>
    </row>
    <row r="1063">
      <c r="B1063" s="3"/>
    </row>
    <row r="1064">
      <c r="B1064" s="3"/>
    </row>
    <row r="1065">
      <c r="B1065" s="3"/>
    </row>
    <row r="1066">
      <c r="B1066" s="3"/>
    </row>
    <row r="1067">
      <c r="B1067" s="3"/>
    </row>
    <row r="1068">
      <c r="B1068" s="3"/>
    </row>
    <row r="1069">
      <c r="B1069" s="3"/>
    </row>
    <row r="1070">
      <c r="B1070" s="3"/>
    </row>
    <row r="1071">
      <c r="B1071" s="3"/>
    </row>
    <row r="1072">
      <c r="B1072" s="3"/>
    </row>
    <row r="1073">
      <c r="B1073" s="3"/>
    </row>
    <row r="1074">
      <c r="B1074" s="3"/>
    </row>
    <row r="1075">
      <c r="B1075" s="3"/>
    </row>
    <row r="1076">
      <c r="B1076" s="3"/>
    </row>
    <row r="1077">
      <c r="B1077" s="3"/>
    </row>
    <row r="1078">
      <c r="B1078" s="3"/>
    </row>
    <row r="1079">
      <c r="B1079" s="3"/>
    </row>
    <row r="1080">
      <c r="B1080" s="3"/>
    </row>
    <row r="1081">
      <c r="B1081" s="3"/>
    </row>
    <row r="1082">
      <c r="B1082" s="3"/>
    </row>
    <row r="1083">
      <c r="B1083" s="3"/>
    </row>
    <row r="1084">
      <c r="B1084" s="3"/>
    </row>
    <row r="1085">
      <c r="B1085" s="3"/>
    </row>
    <row r="1086">
      <c r="B1086" s="3"/>
    </row>
    <row r="1087">
      <c r="B1087" s="3"/>
    </row>
    <row r="1088">
      <c r="B1088" s="3"/>
    </row>
    <row r="1089">
      <c r="B1089" s="3"/>
    </row>
    <row r="1090">
      <c r="B1090" s="3"/>
    </row>
    <row r="1091">
      <c r="B1091" s="3"/>
    </row>
    <row r="1092">
      <c r="B1092" s="3"/>
    </row>
    <row r="1093">
      <c r="B1093" s="3"/>
    </row>
    <row r="1094">
      <c r="B1094" s="3"/>
    </row>
    <row r="1095">
      <c r="B1095" s="3"/>
    </row>
    <row r="1096">
      <c r="B1096" s="3"/>
    </row>
    <row r="1097">
      <c r="B1097" s="3"/>
    </row>
    <row r="1098">
      <c r="B1098" s="3"/>
    </row>
    <row r="1099">
      <c r="B1099" s="3"/>
    </row>
    <row r="1100">
      <c r="B1100" s="3"/>
    </row>
    <row r="1101">
      <c r="B1101" s="3"/>
    </row>
    <row r="1102">
      <c r="B1102" s="3"/>
    </row>
    <row r="1103">
      <c r="B1103" s="3"/>
    </row>
    <row r="1104">
      <c r="B1104" s="3"/>
    </row>
    <row r="1105">
      <c r="B1105" s="3"/>
    </row>
    <row r="1106">
      <c r="B1106" s="3"/>
    </row>
    <row r="1107">
      <c r="B1107" s="3"/>
    </row>
    <row r="1108">
      <c r="B1108" s="3"/>
    </row>
    <row r="1109">
      <c r="B1109" s="3"/>
    </row>
    <row r="1110">
      <c r="B1110" s="3"/>
    </row>
    <row r="1111">
      <c r="B1111" s="3"/>
    </row>
    <row r="1112">
      <c r="B1112" s="3"/>
    </row>
    <row r="1113">
      <c r="B1113" s="3"/>
    </row>
    <row r="1114">
      <c r="B1114" s="3"/>
    </row>
    <row r="1115">
      <c r="B1115" s="3"/>
    </row>
    <row r="1116">
      <c r="B1116" s="3"/>
    </row>
    <row r="1117">
      <c r="B1117" s="3"/>
    </row>
    <row r="1118">
      <c r="B1118" s="3"/>
    </row>
    <row r="1119">
      <c r="B1119" s="3"/>
    </row>
    <row r="1120">
      <c r="B1120" s="3"/>
    </row>
    <row r="1121">
      <c r="B1121" s="3"/>
    </row>
    <row r="1122">
      <c r="B1122" s="3"/>
    </row>
    <row r="1123">
      <c r="B1123" s="3"/>
    </row>
    <row r="1124">
      <c r="B1124" s="3"/>
    </row>
    <row r="1125">
      <c r="B1125" s="3"/>
    </row>
    <row r="1126">
      <c r="B1126" s="3"/>
    </row>
    <row r="1127">
      <c r="B1127" s="3"/>
    </row>
    <row r="1128">
      <c r="B1128" s="3"/>
    </row>
    <row r="1129">
      <c r="B1129" s="3"/>
    </row>
    <row r="1130">
      <c r="B1130" s="3"/>
    </row>
    <row r="1131">
      <c r="B1131" s="3"/>
    </row>
    <row r="1132">
      <c r="B1132" s="3"/>
    </row>
    <row r="1133">
      <c r="B1133" s="3"/>
    </row>
    <row r="1134">
      <c r="B1134" s="3"/>
    </row>
    <row r="1135">
      <c r="B1135" s="3"/>
    </row>
    <row r="1136">
      <c r="B1136" s="3"/>
    </row>
    <row r="1137">
      <c r="B1137" s="3"/>
    </row>
    <row r="1138">
      <c r="B1138" s="3"/>
    </row>
    <row r="1139">
      <c r="B1139" s="3"/>
    </row>
    <row r="1140">
      <c r="B1140" s="3"/>
    </row>
    <row r="1141">
      <c r="B1141" s="3"/>
    </row>
    <row r="1142">
      <c r="B1142" s="3"/>
    </row>
    <row r="1143">
      <c r="B1143" s="3"/>
    </row>
    <row r="1144">
      <c r="B1144" s="3"/>
    </row>
    <row r="1145">
      <c r="B1145" s="3"/>
    </row>
    <row r="1146">
      <c r="B1146" s="3"/>
    </row>
    <row r="1147">
      <c r="B1147" s="3"/>
    </row>
    <row r="1148">
      <c r="B1148" s="3"/>
    </row>
    <row r="1149">
      <c r="B1149" s="3"/>
    </row>
    <row r="1150">
      <c r="B1150" s="3"/>
    </row>
    <row r="1151">
      <c r="B1151" s="3"/>
    </row>
    <row r="1152">
      <c r="B1152" s="3"/>
    </row>
    <row r="1153">
      <c r="B1153" s="3"/>
    </row>
    <row r="1154">
      <c r="B1154" s="3"/>
    </row>
    <row r="1155">
      <c r="B1155" s="3"/>
    </row>
    <row r="1156">
      <c r="B1156" s="3"/>
    </row>
    <row r="1157">
      <c r="B1157" s="3"/>
    </row>
    <row r="1158">
      <c r="B1158" s="3"/>
    </row>
    <row r="1159">
      <c r="B1159" s="3"/>
    </row>
    <row r="1160">
      <c r="B1160" s="3"/>
    </row>
    <row r="1161">
      <c r="B1161" s="3"/>
    </row>
    <row r="1162">
      <c r="B1162" s="3"/>
    </row>
    <row r="1163">
      <c r="B1163" s="3"/>
    </row>
    <row r="1164">
      <c r="B1164" s="3"/>
    </row>
    <row r="1165">
      <c r="B1165" s="3"/>
    </row>
    <row r="1166">
      <c r="B1166" s="3"/>
    </row>
    <row r="1167">
      <c r="B1167" s="3"/>
    </row>
    <row r="1168">
      <c r="B1168" s="3"/>
    </row>
    <row r="1169">
      <c r="B1169" s="3"/>
    </row>
    <row r="1170">
      <c r="B1170" s="3"/>
    </row>
    <row r="1171">
      <c r="B1171" s="3"/>
    </row>
    <row r="1172">
      <c r="B1172" s="3"/>
    </row>
    <row r="1173">
      <c r="B1173" s="3"/>
    </row>
    <row r="1174">
      <c r="B1174" s="3"/>
    </row>
    <row r="1175">
      <c r="B1175" s="3"/>
    </row>
    <row r="1176">
      <c r="B1176" s="3"/>
    </row>
    <row r="1177">
      <c r="B1177" s="3"/>
    </row>
    <row r="1178">
      <c r="B1178" s="3"/>
    </row>
    <row r="1179">
      <c r="B1179" s="3"/>
    </row>
    <row r="1180">
      <c r="B1180" s="3"/>
    </row>
    <row r="1181">
      <c r="B1181" s="3"/>
    </row>
    <row r="1182">
      <c r="B1182" s="3"/>
    </row>
    <row r="1183">
      <c r="B1183" s="3"/>
    </row>
    <row r="1184">
      <c r="B1184" s="3"/>
    </row>
    <row r="1185">
      <c r="B1185" s="3"/>
    </row>
    <row r="1186">
      <c r="B1186" s="3"/>
    </row>
    <row r="1187">
      <c r="B1187" s="3"/>
    </row>
    <row r="1188">
      <c r="B1188" s="3"/>
    </row>
    <row r="1189">
      <c r="B1189" s="3"/>
    </row>
    <row r="1190">
      <c r="B1190" s="3"/>
    </row>
    <row r="1191">
      <c r="B1191" s="3"/>
    </row>
    <row r="1192">
      <c r="B1192" s="3"/>
    </row>
    <row r="1193">
      <c r="B1193" s="3"/>
    </row>
    <row r="1194">
      <c r="B1194" s="3"/>
    </row>
    <row r="1195">
      <c r="B1195" s="3"/>
    </row>
    <row r="1196">
      <c r="B1196" s="3"/>
    </row>
    <row r="1197">
      <c r="B1197" s="3"/>
    </row>
    <row r="1198">
      <c r="B1198" s="3"/>
    </row>
    <row r="1199">
      <c r="B1199" s="3"/>
    </row>
    <row r="1200">
      <c r="B1200" s="3"/>
    </row>
    <row r="1201">
      <c r="B1201" s="3"/>
    </row>
    <row r="1202">
      <c r="B1202" s="3"/>
    </row>
    <row r="1203">
      <c r="B1203" s="3"/>
    </row>
    <row r="1204">
      <c r="B1204" s="3"/>
    </row>
    <row r="1205">
      <c r="B1205" s="3"/>
    </row>
    <row r="1206">
      <c r="B1206" s="3"/>
    </row>
    <row r="1207">
      <c r="B1207" s="3"/>
    </row>
    <row r="1208">
      <c r="B1208" s="3"/>
    </row>
    <row r="1209">
      <c r="B1209" s="3"/>
    </row>
    <row r="1210">
      <c r="B1210" s="3"/>
    </row>
    <row r="1211">
      <c r="B1211" s="3"/>
    </row>
    <row r="1212">
      <c r="B1212" s="3"/>
    </row>
    <row r="1213">
      <c r="B1213" s="3"/>
    </row>
    <row r="1214">
      <c r="B1214" s="3"/>
    </row>
    <row r="1215">
      <c r="B1215" s="3"/>
    </row>
    <row r="1216">
      <c r="B1216" s="3"/>
    </row>
    <row r="1217">
      <c r="B1217" s="3"/>
    </row>
    <row r="1218">
      <c r="B1218" s="3"/>
    </row>
    <row r="1219">
      <c r="B1219" s="3"/>
    </row>
    <row r="1220">
      <c r="B1220" s="3"/>
    </row>
    <row r="1221">
      <c r="B1221" s="3"/>
    </row>
    <row r="1222">
      <c r="B1222" s="3"/>
    </row>
    <row r="1223">
      <c r="B1223" s="3"/>
    </row>
    <row r="1224">
      <c r="B1224" s="3"/>
    </row>
    <row r="1225">
      <c r="B1225" s="3"/>
    </row>
    <row r="1226">
      <c r="B1226" s="3"/>
    </row>
    <row r="1227">
      <c r="B1227" s="3"/>
    </row>
    <row r="1228">
      <c r="B1228" s="3"/>
    </row>
    <row r="1229">
      <c r="B1229" s="3"/>
    </row>
    <row r="1230">
      <c r="B1230" s="3"/>
    </row>
    <row r="1231">
      <c r="B1231" s="3"/>
    </row>
    <row r="1232">
      <c r="B1232" s="3"/>
    </row>
    <row r="1233">
      <c r="B1233" s="3"/>
    </row>
    <row r="1234">
      <c r="B1234" s="3"/>
    </row>
    <row r="1235">
      <c r="B1235" s="3"/>
    </row>
    <row r="1236">
      <c r="B1236" s="3"/>
    </row>
    <row r="1237">
      <c r="B1237" s="3"/>
    </row>
    <row r="1238">
      <c r="B1238" s="3"/>
    </row>
    <row r="1239">
      <c r="B1239" s="3"/>
    </row>
    <row r="1240">
      <c r="B1240" s="3"/>
    </row>
    <row r="1241">
      <c r="B1241" s="3"/>
    </row>
    <row r="1242">
      <c r="B1242" s="3"/>
    </row>
    <row r="1243">
      <c r="B1243" s="3"/>
    </row>
    <row r="1244">
      <c r="B1244" s="3"/>
    </row>
    <row r="1245">
      <c r="B1245" s="3"/>
    </row>
    <row r="1246">
      <c r="B1246" s="3"/>
    </row>
    <row r="1247">
      <c r="B1247" s="3"/>
    </row>
    <row r="1248">
      <c r="B1248" s="3"/>
    </row>
    <row r="1249">
      <c r="B1249" s="3"/>
    </row>
    <row r="1250">
      <c r="B1250" s="3"/>
    </row>
    <row r="1251">
      <c r="B1251" s="3"/>
    </row>
    <row r="1252">
      <c r="B1252" s="3"/>
    </row>
    <row r="1253">
      <c r="B1253" s="3"/>
    </row>
    <row r="1254">
      <c r="B1254" s="3"/>
    </row>
    <row r="1255">
      <c r="B1255" s="3"/>
    </row>
    <row r="1256">
      <c r="B1256" s="3"/>
    </row>
    <row r="1257">
      <c r="B1257" s="3"/>
    </row>
    <row r="1258">
      <c r="B1258" s="3"/>
    </row>
    <row r="1259">
      <c r="B1259" s="3"/>
    </row>
    <row r="1260">
      <c r="B1260" s="3"/>
    </row>
    <row r="1261">
      <c r="B1261" s="3"/>
    </row>
    <row r="1262">
      <c r="B1262" s="3"/>
    </row>
    <row r="1263">
      <c r="B1263" s="3"/>
    </row>
    <row r="1264">
      <c r="B1264" s="3"/>
    </row>
    <row r="1265">
      <c r="B1265" s="3"/>
    </row>
    <row r="1266">
      <c r="B1266" s="3"/>
    </row>
    <row r="1267">
      <c r="B1267" s="3"/>
    </row>
    <row r="1268">
      <c r="B1268" s="3"/>
    </row>
    <row r="1269">
      <c r="B1269" s="3"/>
    </row>
    <row r="1270">
      <c r="B1270" s="3"/>
    </row>
    <row r="1271">
      <c r="B1271" s="3"/>
    </row>
    <row r="1272">
      <c r="B1272" s="3"/>
    </row>
    <row r="1273">
      <c r="B1273" s="3"/>
    </row>
    <row r="1274">
      <c r="B1274" s="3"/>
    </row>
    <row r="1275">
      <c r="B1275" s="3"/>
    </row>
    <row r="1276">
      <c r="B1276" s="3"/>
    </row>
    <row r="1277">
      <c r="B1277" s="3"/>
    </row>
    <row r="1278">
      <c r="B1278" s="3"/>
    </row>
    <row r="1279">
      <c r="B1279" s="3"/>
    </row>
    <row r="1280">
      <c r="B1280" s="3"/>
    </row>
    <row r="1281">
      <c r="B1281" s="3"/>
    </row>
    <row r="1282">
      <c r="B1282" s="3"/>
    </row>
    <row r="1283">
      <c r="B1283" s="3"/>
    </row>
    <row r="1284">
      <c r="B1284" s="3"/>
    </row>
    <row r="1285">
      <c r="B1285" s="3"/>
    </row>
    <row r="1286">
      <c r="B1286" s="3"/>
    </row>
    <row r="1287">
      <c r="B1287" s="3"/>
    </row>
    <row r="1288">
      <c r="B1288" s="3"/>
    </row>
    <row r="1289">
      <c r="B1289" s="3"/>
    </row>
    <row r="1290">
      <c r="B1290" s="3"/>
    </row>
    <row r="1291">
      <c r="B1291" s="3"/>
    </row>
    <row r="1292">
      <c r="B1292" s="3"/>
    </row>
    <row r="1293">
      <c r="B1293" s="3"/>
    </row>
    <row r="1294">
      <c r="B1294" s="3"/>
    </row>
    <row r="1295">
      <c r="B1295" s="3"/>
    </row>
    <row r="1296">
      <c r="B1296" s="3"/>
    </row>
    <row r="1297">
      <c r="B1297" s="3"/>
    </row>
    <row r="1298">
      <c r="B1298" s="3"/>
    </row>
    <row r="1299">
      <c r="B1299" s="3"/>
    </row>
    <row r="1300">
      <c r="B1300" s="3"/>
    </row>
    <row r="1301">
      <c r="B1301" s="3"/>
    </row>
    <row r="1302">
      <c r="B1302" s="3"/>
    </row>
    <row r="1303">
      <c r="B1303" s="3"/>
    </row>
    <row r="1304">
      <c r="B1304" s="3"/>
    </row>
    <row r="1305">
      <c r="B1305" s="3"/>
    </row>
    <row r="1306">
      <c r="B1306" s="3"/>
    </row>
    <row r="1307">
      <c r="B1307" s="3"/>
    </row>
    <row r="1308">
      <c r="B1308" s="3"/>
    </row>
    <row r="1309">
      <c r="B1309" s="3"/>
    </row>
    <row r="1310">
      <c r="B1310" s="3"/>
    </row>
    <row r="1311">
      <c r="B1311" s="3"/>
    </row>
    <row r="1312">
      <c r="B1312" s="3"/>
    </row>
    <row r="1313">
      <c r="B1313" s="3"/>
    </row>
    <row r="1314">
      <c r="B1314" s="3"/>
    </row>
    <row r="1315">
      <c r="B1315" s="3"/>
    </row>
    <row r="1316">
      <c r="B1316" s="3"/>
    </row>
    <row r="1317">
      <c r="B1317" s="3"/>
    </row>
    <row r="1318">
      <c r="B1318" s="3"/>
    </row>
    <row r="1319">
      <c r="B1319" s="3"/>
    </row>
    <row r="1320">
      <c r="B1320" s="3"/>
    </row>
    <row r="1321">
      <c r="B1321" s="3"/>
    </row>
    <row r="1322">
      <c r="B1322" s="3"/>
    </row>
    <row r="1323">
      <c r="B1323" s="3"/>
    </row>
    <row r="1324">
      <c r="B1324" s="3"/>
    </row>
    <row r="1325">
      <c r="B1325" s="3"/>
    </row>
    <row r="1326">
      <c r="B1326" s="3"/>
    </row>
    <row r="1327">
      <c r="B1327" s="3"/>
    </row>
    <row r="1328">
      <c r="B1328" s="3"/>
    </row>
    <row r="1329">
      <c r="B1329" s="3"/>
    </row>
    <row r="1330">
      <c r="B1330" s="3"/>
    </row>
    <row r="1331">
      <c r="B1331" s="3"/>
    </row>
    <row r="1332">
      <c r="B1332" s="3"/>
    </row>
    <row r="1333">
      <c r="B1333" s="3"/>
    </row>
    <row r="1334">
      <c r="B1334" s="3"/>
    </row>
    <row r="1335">
      <c r="B1335" s="3"/>
    </row>
    <row r="1336">
      <c r="B1336" s="3"/>
    </row>
    <row r="1337">
      <c r="B1337" s="3"/>
    </row>
    <row r="1338">
      <c r="B1338" s="3"/>
    </row>
    <row r="1339">
      <c r="B1339" s="3"/>
    </row>
    <row r="1340">
      <c r="B1340" s="3"/>
    </row>
    <row r="1341">
      <c r="B1341" s="3"/>
    </row>
    <row r="1342">
      <c r="B1342" s="3"/>
    </row>
    <row r="1343">
      <c r="B1343" s="3"/>
    </row>
    <row r="1344">
      <c r="B1344" s="3"/>
    </row>
    <row r="1345">
      <c r="B1345" s="3"/>
    </row>
    <row r="1346">
      <c r="B1346" s="3"/>
    </row>
    <row r="1347">
      <c r="B1347" s="3"/>
    </row>
    <row r="1348">
      <c r="B1348" s="3"/>
    </row>
    <row r="1349">
      <c r="B1349" s="3"/>
    </row>
    <row r="1350">
      <c r="B1350" s="3"/>
    </row>
    <row r="1351">
      <c r="B1351" s="3"/>
    </row>
    <row r="1352">
      <c r="B1352" s="3"/>
    </row>
    <row r="1353">
      <c r="B1353" s="3"/>
    </row>
    <row r="1354">
      <c r="B1354" s="3"/>
    </row>
    <row r="1355">
      <c r="B1355" s="3"/>
    </row>
    <row r="1356">
      <c r="B1356" s="3"/>
    </row>
    <row r="1357">
      <c r="B1357" s="3"/>
    </row>
    <row r="1358">
      <c r="B1358" s="3"/>
    </row>
    <row r="1359">
      <c r="B1359" s="3"/>
    </row>
    <row r="1360">
      <c r="B1360" s="3"/>
    </row>
    <row r="1361">
      <c r="B1361" s="3"/>
    </row>
    <row r="1362">
      <c r="B1362" s="3"/>
    </row>
    <row r="1363">
      <c r="B1363" s="3"/>
    </row>
    <row r="1364">
      <c r="B1364" s="3"/>
    </row>
    <row r="1365">
      <c r="B1365" s="3"/>
    </row>
    <row r="1366">
      <c r="B1366" s="3"/>
    </row>
    <row r="1367">
      <c r="B1367" s="3"/>
    </row>
    <row r="1368">
      <c r="B1368" s="3"/>
    </row>
    <row r="1369">
      <c r="B1369" s="3"/>
    </row>
    <row r="1370">
      <c r="B1370" s="3"/>
    </row>
    <row r="1371">
      <c r="B1371" s="3"/>
    </row>
    <row r="1372">
      <c r="B1372" s="3"/>
    </row>
    <row r="1373">
      <c r="B1373" s="3"/>
    </row>
    <row r="1374">
      <c r="B1374" s="3"/>
    </row>
    <row r="1375">
      <c r="B1375" s="3"/>
    </row>
    <row r="1376">
      <c r="B1376" s="3"/>
    </row>
    <row r="1377">
      <c r="B1377" s="3"/>
    </row>
    <row r="1378">
      <c r="B1378" s="3"/>
    </row>
    <row r="1379">
      <c r="B1379" s="3"/>
    </row>
    <row r="1380">
      <c r="B1380" s="3"/>
    </row>
    <row r="1381">
      <c r="B1381" s="3"/>
    </row>
    <row r="1382">
      <c r="B1382" s="3"/>
    </row>
    <row r="1383">
      <c r="B1383" s="3"/>
    </row>
    <row r="1384">
      <c r="B1384" s="3"/>
    </row>
    <row r="1385">
      <c r="B1385" s="3"/>
    </row>
    <row r="1386">
      <c r="B1386" s="3"/>
    </row>
    <row r="1387">
      <c r="B1387" s="3"/>
    </row>
    <row r="1388">
      <c r="B1388" s="3"/>
    </row>
    <row r="1389">
      <c r="B1389" s="3"/>
    </row>
    <row r="1390">
      <c r="B1390" s="3"/>
    </row>
    <row r="1391">
      <c r="B1391" s="3"/>
    </row>
    <row r="1392">
      <c r="B1392" s="3"/>
    </row>
    <row r="1393">
      <c r="B1393" s="3"/>
    </row>
    <row r="1394">
      <c r="B1394" s="3"/>
    </row>
    <row r="1395">
      <c r="B1395" s="3"/>
    </row>
    <row r="1396">
      <c r="B1396" s="3"/>
    </row>
    <row r="1397">
      <c r="B1397" s="3"/>
    </row>
    <row r="1398">
      <c r="B1398" s="3"/>
    </row>
    <row r="1399">
      <c r="B1399" s="3"/>
    </row>
    <row r="1400">
      <c r="B1400" s="3"/>
    </row>
    <row r="1401">
      <c r="B1401" s="3"/>
    </row>
    <row r="1402">
      <c r="B1402" s="3"/>
    </row>
    <row r="1403">
      <c r="B1403" s="3"/>
    </row>
    <row r="1404">
      <c r="B1404" s="3"/>
    </row>
    <row r="1405">
      <c r="B1405" s="3"/>
    </row>
    <row r="1406">
      <c r="B1406" s="3"/>
    </row>
    <row r="1407">
      <c r="B1407" s="3"/>
    </row>
    <row r="1408">
      <c r="B1408" s="3"/>
    </row>
    <row r="1409">
      <c r="B1409" s="3"/>
    </row>
    <row r="1410">
      <c r="B1410" s="3"/>
    </row>
    <row r="1411">
      <c r="B1411" s="3"/>
    </row>
    <row r="1412">
      <c r="B1412" s="3"/>
    </row>
    <row r="1413">
      <c r="B1413" s="3"/>
    </row>
    <row r="1414">
      <c r="B1414" s="3"/>
    </row>
    <row r="1415">
      <c r="B1415" s="3"/>
    </row>
    <row r="1416">
      <c r="B1416" s="3"/>
    </row>
    <row r="1417">
      <c r="B1417" s="3"/>
    </row>
    <row r="1418">
      <c r="B1418" s="3"/>
    </row>
    <row r="1419">
      <c r="B1419" s="3"/>
    </row>
    <row r="1420">
      <c r="B1420" s="3"/>
    </row>
    <row r="1421">
      <c r="B1421" s="3"/>
    </row>
    <row r="1422">
      <c r="B1422" s="3"/>
    </row>
    <row r="1423">
      <c r="B1423" s="3"/>
    </row>
    <row r="1424">
      <c r="B1424" s="3"/>
    </row>
    <row r="1425">
      <c r="B1425" s="3"/>
    </row>
    <row r="1426">
      <c r="B1426" s="3"/>
    </row>
    <row r="1427">
      <c r="B1427" s="3"/>
    </row>
    <row r="1428">
      <c r="B1428" s="3"/>
    </row>
    <row r="1429">
      <c r="B1429" s="3"/>
    </row>
    <row r="1430">
      <c r="B1430" s="3"/>
    </row>
    <row r="1431">
      <c r="B1431" s="3"/>
    </row>
    <row r="1432">
      <c r="B1432" s="3"/>
    </row>
    <row r="1433">
      <c r="B1433" s="3"/>
    </row>
    <row r="1434">
      <c r="B1434" s="3"/>
    </row>
    <row r="1435">
      <c r="B1435" s="3"/>
    </row>
    <row r="1436">
      <c r="B1436" s="3"/>
    </row>
    <row r="1437">
      <c r="B1437" s="3"/>
    </row>
    <row r="1438">
      <c r="B1438" s="3"/>
    </row>
    <row r="1439">
      <c r="B1439" s="3"/>
    </row>
    <row r="1440">
      <c r="B1440" s="3"/>
    </row>
    <row r="1441">
      <c r="B1441" s="3"/>
    </row>
    <row r="1442">
      <c r="B1442" s="3"/>
    </row>
    <row r="1443">
      <c r="B1443" s="3"/>
    </row>
    <row r="1444">
      <c r="B1444" s="3"/>
    </row>
    <row r="1445">
      <c r="B1445" s="3"/>
    </row>
    <row r="1446">
      <c r="B1446" s="3"/>
    </row>
    <row r="1447">
      <c r="B1447" s="3"/>
    </row>
    <row r="1448">
      <c r="B1448" s="3"/>
    </row>
    <row r="1449">
      <c r="B1449" s="3"/>
    </row>
    <row r="1450">
      <c r="B1450" s="3"/>
    </row>
    <row r="1451">
      <c r="B1451" s="3"/>
    </row>
    <row r="1452">
      <c r="B1452" s="3"/>
    </row>
    <row r="1453">
      <c r="B1453" s="3"/>
    </row>
    <row r="1454">
      <c r="B1454" s="3"/>
    </row>
    <row r="1455">
      <c r="B1455" s="3"/>
    </row>
    <row r="1456">
      <c r="B1456" s="3"/>
    </row>
    <row r="1457">
      <c r="B1457" s="3"/>
    </row>
    <row r="1458">
      <c r="B1458" s="3"/>
    </row>
    <row r="1459">
      <c r="B1459" s="3"/>
    </row>
    <row r="1460">
      <c r="B1460" s="3"/>
    </row>
    <row r="1461">
      <c r="B1461" s="3"/>
    </row>
    <row r="1462">
      <c r="B1462" s="3"/>
    </row>
    <row r="1463">
      <c r="B1463" s="3"/>
    </row>
    <row r="1464">
      <c r="B1464" s="3"/>
    </row>
    <row r="1465">
      <c r="B1465" s="3"/>
    </row>
    <row r="1466">
      <c r="B1466" s="3"/>
    </row>
    <row r="1467">
      <c r="B1467" s="3"/>
    </row>
    <row r="1468">
      <c r="B1468" s="3"/>
    </row>
    <row r="1469">
      <c r="B1469" s="3"/>
    </row>
    <row r="1470">
      <c r="B1470" s="3"/>
    </row>
    <row r="1471">
      <c r="B1471" s="3"/>
    </row>
    <row r="1472">
      <c r="B1472" s="3"/>
    </row>
    <row r="1473">
      <c r="B1473" s="3"/>
    </row>
    <row r="1474">
      <c r="B1474" s="3"/>
    </row>
    <row r="1475">
      <c r="B1475" s="3"/>
    </row>
    <row r="1476">
      <c r="B1476" s="3"/>
    </row>
    <row r="1477">
      <c r="B1477" s="3"/>
    </row>
    <row r="1478">
      <c r="B1478" s="3"/>
    </row>
    <row r="1479">
      <c r="B1479" s="3"/>
    </row>
    <row r="1480">
      <c r="B1480" s="3"/>
    </row>
    <row r="1481">
      <c r="B1481" s="3"/>
    </row>
    <row r="1482">
      <c r="B1482" s="3"/>
    </row>
    <row r="1483">
      <c r="B1483" s="3"/>
    </row>
    <row r="1484">
      <c r="B1484" s="3"/>
    </row>
    <row r="1485">
      <c r="B1485" s="3"/>
    </row>
    <row r="1486">
      <c r="B1486" s="3"/>
    </row>
    <row r="1487">
      <c r="B1487" s="3"/>
    </row>
    <row r="1488">
      <c r="B1488" s="3"/>
    </row>
    <row r="1489">
      <c r="B1489" s="3"/>
    </row>
    <row r="1490">
      <c r="B1490" s="3"/>
    </row>
    <row r="1491">
      <c r="B1491" s="3"/>
    </row>
    <row r="1492">
      <c r="B1492" s="3"/>
    </row>
    <row r="1493">
      <c r="B1493" s="3"/>
    </row>
    <row r="1494">
      <c r="B1494" s="3"/>
    </row>
    <row r="1495">
      <c r="B1495" s="3"/>
    </row>
    <row r="1496">
      <c r="B1496" s="3"/>
    </row>
    <row r="1497">
      <c r="B1497" s="3"/>
    </row>
    <row r="1498">
      <c r="B1498" s="3"/>
    </row>
    <row r="1499">
      <c r="B1499" s="3"/>
    </row>
    <row r="1500">
      <c r="B1500" s="3"/>
    </row>
    <row r="1501">
      <c r="B1501" s="3"/>
    </row>
    <row r="1502">
      <c r="B1502" s="3"/>
    </row>
    <row r="1503">
      <c r="B1503" s="3"/>
    </row>
    <row r="1504">
      <c r="B1504" s="3"/>
    </row>
    <row r="1505">
      <c r="B1505" s="3"/>
    </row>
    <row r="1506">
      <c r="B1506" s="3"/>
    </row>
    <row r="1507">
      <c r="B1507" s="3"/>
    </row>
    <row r="1508">
      <c r="B1508" s="3"/>
    </row>
    <row r="1509">
      <c r="B1509" s="3"/>
    </row>
    <row r="1510">
      <c r="B1510" s="3"/>
    </row>
    <row r="1511">
      <c r="B1511" s="3"/>
    </row>
    <row r="1512">
      <c r="B1512" s="3"/>
    </row>
    <row r="1513">
      <c r="B1513" s="3"/>
    </row>
    <row r="1514">
      <c r="B1514" s="3"/>
    </row>
    <row r="1515">
      <c r="B1515" s="3"/>
    </row>
    <row r="1516">
      <c r="B1516" s="3"/>
    </row>
    <row r="1517">
      <c r="B1517" s="3"/>
    </row>
    <row r="1518">
      <c r="B1518" s="3"/>
    </row>
    <row r="1519">
      <c r="B1519" s="3"/>
    </row>
    <row r="1520">
      <c r="B1520" s="3"/>
    </row>
    <row r="1521">
      <c r="B1521" s="3"/>
    </row>
    <row r="1522">
      <c r="B1522" s="3"/>
    </row>
    <row r="1523">
      <c r="B1523" s="3"/>
    </row>
    <row r="1524">
      <c r="B1524" s="3"/>
    </row>
    <row r="1525">
      <c r="B1525" s="3"/>
    </row>
    <row r="1526">
      <c r="B1526" s="3"/>
    </row>
    <row r="1527">
      <c r="B1527" s="3"/>
    </row>
    <row r="1528">
      <c r="B1528" s="3"/>
    </row>
    <row r="1529">
      <c r="B1529" s="3"/>
    </row>
    <row r="1530">
      <c r="B1530" s="3"/>
    </row>
    <row r="1531">
      <c r="B1531" s="3"/>
    </row>
    <row r="1532">
      <c r="B1532" s="3"/>
    </row>
    <row r="1533">
      <c r="B1533" s="3"/>
    </row>
    <row r="1534">
      <c r="B1534" s="3"/>
    </row>
    <row r="1535">
      <c r="B1535" s="3"/>
    </row>
    <row r="1536">
      <c r="B1536" s="3"/>
    </row>
    <row r="1537">
      <c r="B1537" s="3"/>
    </row>
    <row r="1538">
      <c r="B1538" s="3"/>
    </row>
    <row r="1539">
      <c r="B1539" s="3"/>
    </row>
    <row r="1540">
      <c r="B1540" s="3"/>
    </row>
    <row r="1541">
      <c r="B1541" s="3"/>
    </row>
    <row r="1542">
      <c r="B1542" s="3"/>
    </row>
    <row r="1543">
      <c r="B1543" s="3"/>
    </row>
    <row r="1544">
      <c r="B1544" s="3"/>
    </row>
    <row r="1545">
      <c r="B1545" s="3"/>
    </row>
    <row r="1546">
      <c r="B1546" s="3"/>
    </row>
    <row r="1547">
      <c r="B1547" s="3"/>
    </row>
    <row r="1548">
      <c r="B1548" s="3"/>
    </row>
    <row r="1549">
      <c r="B1549" s="3"/>
    </row>
    <row r="1550">
      <c r="B1550" s="3"/>
    </row>
    <row r="1551">
      <c r="B1551" s="3"/>
    </row>
    <row r="1552">
      <c r="B1552" s="3"/>
    </row>
    <row r="1553">
      <c r="B1553" s="3"/>
    </row>
    <row r="1554">
      <c r="B1554" s="3"/>
    </row>
    <row r="1555">
      <c r="B1555" s="3"/>
    </row>
    <row r="1556">
      <c r="B1556" s="3"/>
    </row>
    <row r="1557">
      <c r="B1557" s="3"/>
    </row>
    <row r="1558">
      <c r="B1558" s="3"/>
    </row>
    <row r="1559">
      <c r="B1559" s="3"/>
    </row>
    <row r="1560">
      <c r="B1560" s="3"/>
    </row>
    <row r="1561">
      <c r="B1561" s="3"/>
    </row>
    <row r="1562">
      <c r="B1562" s="3"/>
    </row>
    <row r="1563">
      <c r="B1563" s="3"/>
    </row>
    <row r="1564">
      <c r="B1564" s="3"/>
    </row>
    <row r="1565">
      <c r="B1565" s="3"/>
    </row>
    <row r="1566">
      <c r="B1566" s="3"/>
    </row>
    <row r="1567">
      <c r="B1567" s="3"/>
    </row>
    <row r="1568">
      <c r="B1568" s="3"/>
    </row>
    <row r="1569">
      <c r="B1569" s="3"/>
    </row>
    <row r="1570">
      <c r="B1570" s="3"/>
    </row>
    <row r="1571">
      <c r="B1571" s="3"/>
    </row>
    <row r="1572">
      <c r="B1572" s="3"/>
    </row>
    <row r="1573">
      <c r="B1573" s="3"/>
    </row>
    <row r="1574">
      <c r="B1574" s="3"/>
    </row>
    <row r="1575">
      <c r="B1575" s="3"/>
    </row>
    <row r="1576">
      <c r="B1576" s="3"/>
    </row>
    <row r="1577">
      <c r="B1577" s="3"/>
    </row>
    <row r="1578">
      <c r="B1578" s="3"/>
    </row>
    <row r="1579">
      <c r="B1579" s="3"/>
    </row>
    <row r="1580">
      <c r="B1580" s="3"/>
    </row>
    <row r="1581">
      <c r="B1581" s="3"/>
    </row>
    <row r="1582">
      <c r="B1582" s="3"/>
    </row>
    <row r="1583">
      <c r="B1583" s="3"/>
    </row>
    <row r="1584">
      <c r="B1584" s="3"/>
    </row>
    <row r="1585">
      <c r="B1585" s="3"/>
    </row>
    <row r="1586">
      <c r="B1586" s="3"/>
    </row>
    <row r="1587">
      <c r="B1587" s="3"/>
    </row>
    <row r="1588">
      <c r="B1588" s="3"/>
    </row>
    <row r="1589">
      <c r="B1589" s="3"/>
    </row>
    <row r="1590">
      <c r="B1590" s="3"/>
    </row>
    <row r="1591">
      <c r="B1591" s="3"/>
    </row>
    <row r="1592">
      <c r="B1592" s="3"/>
    </row>
    <row r="1593">
      <c r="B1593" s="3"/>
    </row>
    <row r="1594">
      <c r="B1594" s="3"/>
    </row>
    <row r="1595">
      <c r="B1595" s="3"/>
    </row>
    <row r="1596">
      <c r="B1596" s="3"/>
    </row>
    <row r="1597">
      <c r="B1597" s="3"/>
    </row>
    <row r="1598">
      <c r="B1598" s="3"/>
    </row>
    <row r="1599">
      <c r="B1599" s="3"/>
    </row>
    <row r="1600">
      <c r="B1600" s="3"/>
    </row>
    <row r="1601">
      <c r="B1601" s="3"/>
    </row>
    <row r="1602">
      <c r="B1602" s="3"/>
    </row>
    <row r="1603">
      <c r="B1603" s="3"/>
    </row>
    <row r="1604">
      <c r="B1604" s="3"/>
    </row>
    <row r="1605">
      <c r="B1605" s="3"/>
    </row>
    <row r="1606">
      <c r="B1606" s="3"/>
    </row>
    <row r="1607">
      <c r="B1607" s="3"/>
    </row>
    <row r="1608">
      <c r="B1608" s="3"/>
    </row>
    <row r="1609">
      <c r="B1609" s="3"/>
    </row>
    <row r="1610">
      <c r="B1610" s="3"/>
    </row>
    <row r="1611">
      <c r="B1611" s="3"/>
    </row>
    <row r="1612">
      <c r="B1612" s="3"/>
    </row>
    <row r="1613">
      <c r="B1613" s="3"/>
    </row>
    <row r="1614">
      <c r="B1614" s="3"/>
    </row>
    <row r="1615">
      <c r="B1615" s="3"/>
    </row>
    <row r="1616">
      <c r="B1616" s="3"/>
    </row>
    <row r="1617">
      <c r="B1617" s="3"/>
    </row>
    <row r="1618">
      <c r="B1618" s="3"/>
    </row>
    <row r="1619">
      <c r="B1619" s="3"/>
    </row>
    <row r="1620">
      <c r="B1620" s="3"/>
    </row>
    <row r="1621">
      <c r="B1621" s="3"/>
    </row>
    <row r="1622">
      <c r="B1622" s="3"/>
    </row>
    <row r="1623">
      <c r="B1623" s="3"/>
    </row>
    <row r="1624">
      <c r="B1624" s="3"/>
    </row>
    <row r="1625">
      <c r="B1625" s="3"/>
    </row>
    <row r="1626">
      <c r="B1626" s="3"/>
    </row>
    <row r="1627">
      <c r="B1627" s="3"/>
    </row>
    <row r="1628">
      <c r="B1628" s="3"/>
    </row>
    <row r="1629">
      <c r="B1629" s="3"/>
    </row>
    <row r="1630">
      <c r="B1630" s="3"/>
    </row>
    <row r="1631">
      <c r="B1631" s="3"/>
    </row>
    <row r="1632">
      <c r="B1632" s="3"/>
    </row>
    <row r="1633">
      <c r="B1633" s="3"/>
    </row>
    <row r="1634">
      <c r="B1634" s="3"/>
    </row>
    <row r="1635">
      <c r="B1635" s="3"/>
    </row>
    <row r="1636">
      <c r="B1636" s="3"/>
    </row>
    <row r="1637">
      <c r="B1637" s="3"/>
    </row>
    <row r="1638">
      <c r="B1638" s="3"/>
    </row>
    <row r="1639">
      <c r="B1639" s="3"/>
    </row>
    <row r="1640">
      <c r="B1640" s="3"/>
    </row>
    <row r="1641">
      <c r="B1641" s="3"/>
    </row>
    <row r="1642">
      <c r="B1642" s="3"/>
    </row>
    <row r="1643">
      <c r="B1643" s="3"/>
    </row>
    <row r="1644">
      <c r="B1644" s="3"/>
    </row>
    <row r="1645">
      <c r="B1645" s="3"/>
    </row>
    <row r="1646">
      <c r="B1646" s="3"/>
    </row>
    <row r="1647">
      <c r="B1647" s="3"/>
    </row>
    <row r="1648">
      <c r="B1648" s="3"/>
    </row>
    <row r="1649">
      <c r="B1649" s="3"/>
    </row>
    <row r="1650">
      <c r="B1650" s="3"/>
    </row>
    <row r="1651">
      <c r="B1651" s="3"/>
    </row>
    <row r="1652">
      <c r="B1652" s="3"/>
    </row>
    <row r="1653">
      <c r="B1653" s="3"/>
    </row>
    <row r="1654">
      <c r="B1654" s="3"/>
    </row>
    <row r="1655">
      <c r="B1655" s="3"/>
    </row>
    <row r="1656">
      <c r="B1656" s="3"/>
    </row>
    <row r="1657">
      <c r="B1657" s="3"/>
    </row>
    <row r="1658">
      <c r="B1658" s="3"/>
    </row>
    <row r="1659">
      <c r="B1659" s="3"/>
    </row>
    <row r="1660">
      <c r="B1660" s="3"/>
    </row>
    <row r="1661">
      <c r="B1661" s="3"/>
    </row>
    <row r="1662">
      <c r="B1662" s="3"/>
    </row>
    <row r="1663">
      <c r="B1663" s="3"/>
    </row>
    <row r="1664">
      <c r="B1664" s="3"/>
    </row>
    <row r="1665">
      <c r="B1665" s="3"/>
    </row>
    <row r="1666">
      <c r="B1666" s="3"/>
    </row>
    <row r="1667">
      <c r="B1667" s="3"/>
    </row>
    <row r="1668">
      <c r="B1668" s="3"/>
    </row>
    <row r="1669">
      <c r="B1669" s="3"/>
    </row>
    <row r="1670">
      <c r="B1670" s="3"/>
    </row>
    <row r="1671">
      <c r="B1671" s="3"/>
    </row>
    <row r="1672">
      <c r="B1672" s="3"/>
    </row>
    <row r="1673">
      <c r="B1673" s="3"/>
    </row>
    <row r="1674">
      <c r="B1674" s="3"/>
    </row>
    <row r="1675">
      <c r="B1675" s="3"/>
    </row>
    <row r="1676">
      <c r="B1676" s="3"/>
    </row>
    <row r="1677">
      <c r="B1677" s="3"/>
    </row>
    <row r="1678">
      <c r="B1678" s="3"/>
    </row>
    <row r="1679">
      <c r="B1679" s="3"/>
    </row>
    <row r="1680">
      <c r="B1680" s="3"/>
    </row>
    <row r="1681">
      <c r="B1681" s="3"/>
    </row>
    <row r="1682">
      <c r="B1682" s="3"/>
    </row>
    <row r="1683">
      <c r="B1683" s="3"/>
    </row>
    <row r="1684">
      <c r="B1684" s="3"/>
    </row>
    <row r="1685">
      <c r="B1685" s="3"/>
    </row>
    <row r="1686">
      <c r="B1686" s="3"/>
    </row>
    <row r="1687">
      <c r="B1687" s="3"/>
    </row>
    <row r="1688">
      <c r="B1688" s="3"/>
    </row>
    <row r="1689">
      <c r="B1689" s="3"/>
    </row>
    <row r="1690">
      <c r="B1690" s="3"/>
    </row>
    <row r="1691">
      <c r="B1691" s="3"/>
    </row>
    <row r="1692">
      <c r="B1692" s="3"/>
    </row>
    <row r="1693">
      <c r="B1693" s="3"/>
    </row>
    <row r="1694">
      <c r="B1694" s="3"/>
    </row>
    <row r="1695">
      <c r="B1695" s="3"/>
    </row>
    <row r="1696">
      <c r="B1696" s="3"/>
    </row>
    <row r="1697">
      <c r="B1697" s="3"/>
    </row>
    <row r="1698">
      <c r="B1698" s="3"/>
    </row>
    <row r="1699">
      <c r="B1699" s="3"/>
    </row>
    <row r="1700">
      <c r="B1700" s="3"/>
    </row>
    <row r="1701">
      <c r="B1701" s="3"/>
    </row>
    <row r="1702">
      <c r="B1702" s="3"/>
    </row>
    <row r="1703">
      <c r="B1703" s="3"/>
    </row>
    <row r="1704">
      <c r="B1704" s="3"/>
    </row>
    <row r="1705">
      <c r="B1705" s="3"/>
    </row>
    <row r="1706">
      <c r="B1706" s="3"/>
    </row>
    <row r="1707">
      <c r="B1707" s="3"/>
    </row>
    <row r="1708">
      <c r="B1708" s="3"/>
    </row>
    <row r="1709">
      <c r="B1709" s="3"/>
    </row>
    <row r="1710">
      <c r="B1710" s="3"/>
    </row>
    <row r="1711">
      <c r="B1711" s="3"/>
    </row>
    <row r="1712">
      <c r="B1712" s="3"/>
    </row>
    <row r="1713">
      <c r="B1713" s="3"/>
    </row>
    <row r="1714">
      <c r="B1714" s="3"/>
    </row>
    <row r="1715">
      <c r="B1715" s="3"/>
    </row>
    <row r="1716">
      <c r="B1716" s="3"/>
    </row>
    <row r="1717">
      <c r="B1717" s="3"/>
    </row>
    <row r="1718">
      <c r="B1718" s="3"/>
    </row>
    <row r="1719">
      <c r="B1719" s="3"/>
    </row>
    <row r="1720">
      <c r="B1720" s="3"/>
    </row>
    <row r="1721">
      <c r="B1721" s="3"/>
    </row>
    <row r="1722">
      <c r="B1722" s="3"/>
    </row>
    <row r="1723">
      <c r="B1723" s="3"/>
    </row>
    <row r="1724">
      <c r="B1724" s="3"/>
    </row>
    <row r="1725">
      <c r="B1725" s="3"/>
    </row>
    <row r="1726">
      <c r="B1726" s="3"/>
    </row>
    <row r="1727">
      <c r="B1727" s="3"/>
    </row>
    <row r="1728">
      <c r="B1728" s="3"/>
    </row>
    <row r="1729">
      <c r="B1729" s="3"/>
    </row>
    <row r="1730">
      <c r="B1730" s="3"/>
    </row>
    <row r="1731">
      <c r="B1731" s="3"/>
    </row>
    <row r="1732">
      <c r="B1732" s="3"/>
    </row>
    <row r="1733">
      <c r="B1733" s="3"/>
    </row>
    <row r="1734">
      <c r="B1734" s="3"/>
    </row>
    <row r="1735">
      <c r="B1735" s="3"/>
    </row>
    <row r="1736">
      <c r="B1736" s="3"/>
    </row>
    <row r="1737">
      <c r="B1737" s="3"/>
    </row>
    <row r="1738">
      <c r="B1738" s="3"/>
    </row>
    <row r="1739">
      <c r="B1739" s="3"/>
    </row>
    <row r="1740">
      <c r="B1740" s="3"/>
    </row>
    <row r="1741">
      <c r="B1741" s="3"/>
    </row>
    <row r="1742">
      <c r="B1742" s="3"/>
    </row>
    <row r="1743">
      <c r="B1743" s="3"/>
    </row>
    <row r="1744">
      <c r="B1744" s="3"/>
    </row>
    <row r="1745">
      <c r="B1745" s="3"/>
    </row>
    <row r="1746">
      <c r="B1746" s="3"/>
    </row>
    <row r="1747">
      <c r="B1747" s="3"/>
    </row>
    <row r="1748">
      <c r="B1748" s="3"/>
    </row>
    <row r="1749">
      <c r="B1749" s="3"/>
    </row>
    <row r="1750">
      <c r="B1750" s="3"/>
    </row>
    <row r="1751">
      <c r="B1751" s="3"/>
    </row>
    <row r="1752">
      <c r="B1752" s="3"/>
    </row>
    <row r="1753">
      <c r="B1753" s="3"/>
    </row>
    <row r="1754">
      <c r="B1754" s="3"/>
    </row>
    <row r="1755">
      <c r="B1755" s="3"/>
    </row>
    <row r="1756">
      <c r="B1756" s="3"/>
    </row>
    <row r="1757">
      <c r="B1757" s="3"/>
    </row>
    <row r="1758">
      <c r="B1758" s="3"/>
    </row>
    <row r="1759">
      <c r="B1759" s="3"/>
    </row>
    <row r="1760">
      <c r="B1760" s="3"/>
    </row>
    <row r="1761">
      <c r="B1761" s="3"/>
    </row>
    <row r="1762">
      <c r="B1762" s="3"/>
    </row>
    <row r="1763">
      <c r="B1763" s="3"/>
    </row>
    <row r="1764">
      <c r="B1764" s="3"/>
    </row>
    <row r="1765">
      <c r="B1765" s="3"/>
    </row>
    <row r="1766">
      <c r="B1766" s="3"/>
    </row>
    <row r="1767">
      <c r="B1767" s="3"/>
    </row>
    <row r="1768">
      <c r="B1768" s="3"/>
    </row>
    <row r="1769">
      <c r="B1769" s="3"/>
    </row>
    <row r="1770">
      <c r="B1770" s="3"/>
    </row>
    <row r="1771">
      <c r="B1771" s="3"/>
    </row>
    <row r="1772">
      <c r="B1772" s="3"/>
    </row>
    <row r="1773">
      <c r="B1773" s="3"/>
    </row>
    <row r="1774">
      <c r="B1774" s="3"/>
    </row>
    <row r="1775">
      <c r="B1775" s="3"/>
    </row>
    <row r="1776">
      <c r="B1776" s="3"/>
    </row>
    <row r="1777">
      <c r="B1777" s="3"/>
    </row>
    <row r="1778">
      <c r="B1778" s="3"/>
    </row>
    <row r="1779">
      <c r="B1779" s="3"/>
    </row>
    <row r="1780">
      <c r="B1780" s="3"/>
    </row>
    <row r="1781">
      <c r="B1781" s="3"/>
    </row>
    <row r="1782">
      <c r="B1782" s="3"/>
    </row>
    <row r="1783">
      <c r="B1783" s="3"/>
    </row>
    <row r="1784">
      <c r="B1784" s="3"/>
    </row>
    <row r="1785">
      <c r="B1785" s="3"/>
    </row>
    <row r="1786">
      <c r="B1786" s="3"/>
    </row>
    <row r="1787">
      <c r="B1787" s="3"/>
    </row>
    <row r="1788">
      <c r="B1788" s="3"/>
    </row>
    <row r="1789">
      <c r="B1789" s="3"/>
    </row>
    <row r="1790">
      <c r="B1790" s="3"/>
    </row>
    <row r="1791">
      <c r="B1791" s="3"/>
    </row>
    <row r="1792">
      <c r="B1792" s="3"/>
    </row>
    <row r="1793">
      <c r="B1793" s="3"/>
    </row>
    <row r="1794">
      <c r="B1794" s="3"/>
    </row>
    <row r="1795">
      <c r="B1795" s="3"/>
    </row>
    <row r="1796">
      <c r="B1796" s="3"/>
    </row>
    <row r="1797">
      <c r="B1797" s="3"/>
    </row>
    <row r="1798">
      <c r="B1798" s="3"/>
    </row>
    <row r="1799">
      <c r="B1799" s="3"/>
    </row>
    <row r="1800">
      <c r="B1800" s="3"/>
    </row>
    <row r="1801">
      <c r="B1801" s="3"/>
    </row>
    <row r="1802">
      <c r="B1802" s="3"/>
    </row>
    <row r="1803">
      <c r="B1803" s="3"/>
    </row>
    <row r="1804">
      <c r="B1804" s="3"/>
    </row>
    <row r="1805">
      <c r="B1805" s="3"/>
    </row>
    <row r="1806">
      <c r="B1806" s="3"/>
    </row>
    <row r="1807">
      <c r="B1807" s="3"/>
    </row>
    <row r="1808">
      <c r="B1808" s="3"/>
    </row>
    <row r="1809">
      <c r="B1809" s="3"/>
    </row>
    <row r="1810">
      <c r="B1810" s="3"/>
    </row>
    <row r="1811">
      <c r="B1811" s="3"/>
    </row>
    <row r="1812">
      <c r="B1812" s="3"/>
    </row>
    <row r="1813">
      <c r="B1813" s="3"/>
    </row>
    <row r="1814">
      <c r="B1814" s="3"/>
    </row>
    <row r="1815">
      <c r="B1815" s="3"/>
    </row>
    <row r="1816">
      <c r="B1816" s="3"/>
    </row>
    <row r="1817">
      <c r="B1817" s="3"/>
    </row>
    <row r="1818">
      <c r="B1818" s="3"/>
    </row>
    <row r="1819">
      <c r="B1819" s="3"/>
    </row>
    <row r="1820">
      <c r="B1820" s="3"/>
    </row>
    <row r="1821">
      <c r="B1821" s="3"/>
    </row>
    <row r="1822">
      <c r="B1822" s="3"/>
    </row>
    <row r="1823">
      <c r="B1823" s="3"/>
    </row>
    <row r="1824">
      <c r="B1824" s="3"/>
    </row>
    <row r="1825">
      <c r="B1825" s="3"/>
    </row>
    <row r="1826">
      <c r="B1826" s="3"/>
    </row>
    <row r="1827">
      <c r="B1827" s="3"/>
    </row>
    <row r="1828">
      <c r="B1828" s="3"/>
    </row>
    <row r="1829">
      <c r="B1829" s="3"/>
    </row>
    <row r="1830">
      <c r="B1830" s="3"/>
    </row>
    <row r="1831">
      <c r="B1831" s="3"/>
    </row>
    <row r="1832">
      <c r="B1832" s="3"/>
    </row>
    <row r="1833">
      <c r="B1833" s="3"/>
    </row>
    <row r="1834">
      <c r="B1834" s="3"/>
    </row>
    <row r="1835">
      <c r="B1835" s="3"/>
    </row>
    <row r="1836">
      <c r="B1836" s="3"/>
    </row>
    <row r="1837">
      <c r="B1837" s="3"/>
    </row>
    <row r="1838">
      <c r="B1838" s="3"/>
    </row>
    <row r="1839">
      <c r="B1839" s="3"/>
    </row>
    <row r="1840">
      <c r="B1840" s="3"/>
    </row>
    <row r="1841">
      <c r="B1841" s="3"/>
    </row>
    <row r="1842">
      <c r="B1842" s="3"/>
    </row>
    <row r="1843">
      <c r="B1843" s="3"/>
    </row>
    <row r="1844">
      <c r="B1844" s="3"/>
    </row>
    <row r="1845">
      <c r="B1845" s="3"/>
    </row>
    <row r="1846">
      <c r="B1846" s="3"/>
    </row>
    <row r="1847">
      <c r="B1847" s="3"/>
    </row>
    <row r="1848">
      <c r="B1848" s="3"/>
    </row>
    <row r="1849">
      <c r="B1849" s="3"/>
    </row>
    <row r="1850">
      <c r="B1850" s="3"/>
    </row>
    <row r="1851">
      <c r="B1851" s="3"/>
    </row>
    <row r="1852">
      <c r="B1852" s="3"/>
    </row>
    <row r="1853">
      <c r="B1853" s="3"/>
    </row>
    <row r="1854">
      <c r="B1854" s="3"/>
    </row>
    <row r="1855">
      <c r="B1855" s="3"/>
    </row>
    <row r="1856">
      <c r="B1856" s="3"/>
    </row>
    <row r="1857">
      <c r="B1857" s="3"/>
    </row>
    <row r="1858">
      <c r="B1858" s="3"/>
    </row>
    <row r="1859">
      <c r="B1859" s="3"/>
    </row>
    <row r="1860">
      <c r="B1860" s="3"/>
    </row>
    <row r="1861">
      <c r="B1861" s="3"/>
    </row>
    <row r="1862">
      <c r="B1862" s="3"/>
    </row>
    <row r="1863">
      <c r="B1863" s="3"/>
    </row>
    <row r="1864">
      <c r="B1864" s="3"/>
    </row>
    <row r="1865">
      <c r="B1865" s="3"/>
    </row>
    <row r="1866">
      <c r="B1866" s="3"/>
    </row>
    <row r="1867">
      <c r="B1867" s="3"/>
    </row>
    <row r="1868">
      <c r="B1868" s="3"/>
    </row>
    <row r="1869">
      <c r="B1869" s="3"/>
    </row>
    <row r="1870">
      <c r="B1870" s="3"/>
    </row>
    <row r="1871">
      <c r="B1871" s="3"/>
    </row>
    <row r="1872">
      <c r="B1872" s="3"/>
    </row>
    <row r="1873">
      <c r="B1873" s="3"/>
    </row>
    <row r="1874">
      <c r="B1874" s="3"/>
    </row>
    <row r="1875">
      <c r="B1875" s="3"/>
    </row>
    <row r="1876">
      <c r="B1876" s="3"/>
    </row>
    <row r="1877">
      <c r="B1877" s="3"/>
    </row>
    <row r="1878">
      <c r="B1878" s="3"/>
    </row>
    <row r="1879">
      <c r="B1879" s="3"/>
    </row>
    <row r="1880">
      <c r="B1880" s="3"/>
    </row>
    <row r="1881">
      <c r="B1881" s="3"/>
    </row>
    <row r="1882">
      <c r="B1882" s="3"/>
    </row>
    <row r="1883">
      <c r="B1883" s="3"/>
    </row>
    <row r="1884">
      <c r="B1884" s="3"/>
    </row>
    <row r="1885">
      <c r="B1885" s="3"/>
    </row>
    <row r="1886">
      <c r="B1886" s="3"/>
    </row>
    <row r="1887">
      <c r="B1887" s="3"/>
    </row>
    <row r="1888">
      <c r="B1888" s="3"/>
    </row>
    <row r="1889">
      <c r="B1889" s="3"/>
    </row>
    <row r="1890">
      <c r="B1890" s="3"/>
    </row>
    <row r="1891">
      <c r="B1891" s="3"/>
    </row>
    <row r="1892">
      <c r="B1892" s="3"/>
    </row>
    <row r="1893">
      <c r="B1893" s="3"/>
    </row>
    <row r="1894">
      <c r="B1894" s="3"/>
    </row>
    <row r="1895">
      <c r="B1895" s="3"/>
    </row>
    <row r="1896">
      <c r="B1896" s="3"/>
    </row>
  </sheetData>
  <autoFilter ref="$A$1:$D$917">
    <filterColumn colId="2">
      <filters/>
    </filterColumn>
  </autoFilter>
  <dataValidations>
    <dataValidation type="list" allowBlank="1" showErrorMessage="1" sqref="C2:C233 C918:C983">
      <formula1>"11/24,12/24,01/25,02/25,03/25,04/25,05/25,06/25,07/25,08/25,09/25,10/25,11/25,12/25,01/26,02/26,03/26"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84</v>
      </c>
      <c r="B1" s="6">
        <v>75.0</v>
      </c>
      <c r="C1" s="2" t="s">
        <v>131</v>
      </c>
      <c r="E1" s="1" t="str">
        <f t="shared" ref="E1:E31" si="1">if(B1&gt;=60,"Mensal","Avulso")</f>
        <v>Mensal</v>
      </c>
    </row>
    <row r="2">
      <c r="A2" s="2" t="s">
        <v>132</v>
      </c>
      <c r="B2" s="6">
        <v>75.0</v>
      </c>
      <c r="C2" s="2" t="s">
        <v>131</v>
      </c>
      <c r="E2" s="1" t="str">
        <f t="shared" si="1"/>
        <v>Mensal</v>
      </c>
    </row>
    <row r="3">
      <c r="A3" s="2" t="s">
        <v>35</v>
      </c>
      <c r="B3" s="6">
        <v>75.0</v>
      </c>
      <c r="C3" s="2" t="s">
        <v>131</v>
      </c>
      <c r="E3" s="1" t="str">
        <f t="shared" si="1"/>
        <v>Mensal</v>
      </c>
    </row>
    <row r="4">
      <c r="A4" s="2" t="s">
        <v>34</v>
      </c>
      <c r="B4" s="6">
        <v>75.0</v>
      </c>
      <c r="C4" s="2" t="s">
        <v>131</v>
      </c>
      <c r="E4" s="1" t="str">
        <f t="shared" si="1"/>
        <v>Mensal</v>
      </c>
    </row>
    <row r="5">
      <c r="A5" s="2" t="s">
        <v>92</v>
      </c>
      <c r="B5" s="6">
        <v>75.0</v>
      </c>
      <c r="C5" s="2" t="s">
        <v>131</v>
      </c>
      <c r="E5" s="1" t="str">
        <f t="shared" si="1"/>
        <v>Mensal</v>
      </c>
    </row>
    <row r="6">
      <c r="A6" s="2" t="s">
        <v>50</v>
      </c>
      <c r="B6" s="6">
        <v>75.0</v>
      </c>
      <c r="C6" s="2" t="s">
        <v>131</v>
      </c>
      <c r="E6" s="1" t="str">
        <f t="shared" si="1"/>
        <v>Mensal</v>
      </c>
    </row>
    <row r="7">
      <c r="A7" s="2" t="s">
        <v>106</v>
      </c>
      <c r="B7" s="6">
        <v>25.0</v>
      </c>
      <c r="C7" s="2" t="s">
        <v>131</v>
      </c>
      <c r="E7" s="1" t="str">
        <f t="shared" si="1"/>
        <v>Avulso</v>
      </c>
    </row>
    <row r="8">
      <c r="A8" s="2" t="s">
        <v>36</v>
      </c>
      <c r="B8" s="6">
        <v>75.0</v>
      </c>
      <c r="C8" s="2" t="s">
        <v>131</v>
      </c>
      <c r="E8" s="1" t="str">
        <f t="shared" si="1"/>
        <v>Mensal</v>
      </c>
    </row>
    <row r="9">
      <c r="A9" s="2" t="s">
        <v>39</v>
      </c>
      <c r="B9" s="6">
        <v>75.0</v>
      </c>
      <c r="C9" s="2" t="s">
        <v>131</v>
      </c>
      <c r="E9" s="1" t="str">
        <f t="shared" si="1"/>
        <v>Mensal</v>
      </c>
    </row>
    <row r="10">
      <c r="A10" s="2" t="s">
        <v>99</v>
      </c>
      <c r="B10" s="3"/>
      <c r="C10" s="2" t="s">
        <v>131</v>
      </c>
      <c r="E10" s="1" t="str">
        <f t="shared" si="1"/>
        <v>Avulso</v>
      </c>
    </row>
    <row r="11">
      <c r="A11" s="2" t="s">
        <v>85</v>
      </c>
      <c r="B11" s="6">
        <v>75.0</v>
      </c>
      <c r="C11" s="2" t="s">
        <v>131</v>
      </c>
      <c r="E11" s="1" t="str">
        <f t="shared" si="1"/>
        <v>Mensal</v>
      </c>
    </row>
    <row r="12">
      <c r="A12" s="2" t="s">
        <v>28</v>
      </c>
      <c r="B12" s="6">
        <v>75.0</v>
      </c>
      <c r="C12" s="2" t="s">
        <v>131</v>
      </c>
      <c r="E12" s="1" t="str">
        <f t="shared" si="1"/>
        <v>Mensal</v>
      </c>
    </row>
    <row r="13">
      <c r="A13" s="2" t="s">
        <v>133</v>
      </c>
      <c r="B13" s="6">
        <v>25.0</v>
      </c>
      <c r="C13" s="2" t="s">
        <v>131</v>
      </c>
      <c r="E13" s="1" t="str">
        <f t="shared" si="1"/>
        <v>Avulso</v>
      </c>
    </row>
    <row r="14">
      <c r="A14" s="2" t="s">
        <v>30</v>
      </c>
      <c r="B14" s="6">
        <v>75.0</v>
      </c>
      <c r="C14" s="2" t="s">
        <v>131</v>
      </c>
      <c r="E14" s="1" t="str">
        <f t="shared" si="1"/>
        <v>Mensal</v>
      </c>
    </row>
    <row r="15">
      <c r="A15" s="2" t="s">
        <v>77</v>
      </c>
      <c r="B15" s="6">
        <v>25.0</v>
      </c>
      <c r="C15" s="2" t="s">
        <v>131</v>
      </c>
      <c r="E15" s="1" t="str">
        <f t="shared" si="1"/>
        <v>Avulso</v>
      </c>
    </row>
    <row r="16">
      <c r="A16" s="2" t="s">
        <v>32</v>
      </c>
      <c r="B16" s="6">
        <v>-920.0</v>
      </c>
      <c r="C16" s="2" t="s">
        <v>131</v>
      </c>
      <c r="E16" s="1" t="str">
        <f t="shared" si="1"/>
        <v>Avulso</v>
      </c>
    </row>
    <row r="17">
      <c r="A17" s="2" t="s">
        <v>40</v>
      </c>
      <c r="B17" s="6">
        <v>25.0</v>
      </c>
      <c r="C17" s="2" t="s">
        <v>131</v>
      </c>
      <c r="E17" s="1" t="str">
        <f t="shared" si="1"/>
        <v>Avulso</v>
      </c>
    </row>
    <row r="18">
      <c r="A18" s="2" t="s">
        <v>134</v>
      </c>
      <c r="B18" s="6">
        <v>25.0</v>
      </c>
      <c r="C18" s="2" t="s">
        <v>131</v>
      </c>
      <c r="E18" s="1" t="str">
        <f t="shared" si="1"/>
        <v>Avulso</v>
      </c>
    </row>
    <row r="19">
      <c r="A19" s="2" t="s">
        <v>77</v>
      </c>
      <c r="B19" s="6">
        <v>25.0</v>
      </c>
      <c r="C19" s="2" t="s">
        <v>131</v>
      </c>
      <c r="E19" s="1" t="str">
        <f t="shared" si="1"/>
        <v>Avulso</v>
      </c>
    </row>
    <row r="20">
      <c r="A20" s="2" t="s">
        <v>135</v>
      </c>
      <c r="B20" s="6">
        <v>25.0</v>
      </c>
      <c r="C20" s="2" t="s">
        <v>131</v>
      </c>
      <c r="E20" s="1" t="str">
        <f t="shared" si="1"/>
        <v>Avulso</v>
      </c>
    </row>
    <row r="21">
      <c r="A21" s="2" t="s">
        <v>77</v>
      </c>
      <c r="B21" s="6">
        <v>25.0</v>
      </c>
      <c r="C21" s="2" t="s">
        <v>131</v>
      </c>
      <c r="E21" s="1" t="str">
        <f t="shared" si="1"/>
        <v>Avulso</v>
      </c>
    </row>
    <row r="22">
      <c r="A22" s="2" t="s">
        <v>37</v>
      </c>
      <c r="B22" s="6">
        <v>25.0</v>
      </c>
      <c r="C22" s="2" t="s">
        <v>131</v>
      </c>
      <c r="E22" s="1" t="str">
        <f t="shared" si="1"/>
        <v>Avulso</v>
      </c>
    </row>
    <row r="23">
      <c r="A23" s="2" t="s">
        <v>136</v>
      </c>
      <c r="B23" s="6">
        <v>25.0</v>
      </c>
      <c r="C23" s="2" t="s">
        <v>131</v>
      </c>
      <c r="E23" s="1" t="str">
        <f t="shared" si="1"/>
        <v>Avulso</v>
      </c>
    </row>
    <row r="24">
      <c r="A24" s="2" t="s">
        <v>45</v>
      </c>
      <c r="B24" s="6">
        <v>25.0</v>
      </c>
      <c r="C24" s="2" t="s">
        <v>131</v>
      </c>
      <c r="E24" s="1" t="str">
        <f t="shared" si="1"/>
        <v>Avulso</v>
      </c>
    </row>
    <row r="25">
      <c r="A25" s="2" t="s">
        <v>82</v>
      </c>
      <c r="B25" s="6">
        <v>-62.36</v>
      </c>
      <c r="C25" s="2" t="s">
        <v>131</v>
      </c>
      <c r="E25" s="1" t="str">
        <f t="shared" si="1"/>
        <v>Avulso</v>
      </c>
    </row>
    <row r="26">
      <c r="A26" s="2" t="s">
        <v>137</v>
      </c>
      <c r="B26" s="6">
        <v>15.0</v>
      </c>
      <c r="C26" s="2" t="s">
        <v>131</v>
      </c>
      <c r="E26" s="1" t="str">
        <f t="shared" si="1"/>
        <v>Avulso</v>
      </c>
    </row>
    <row r="27">
      <c r="A27" s="2" t="s">
        <v>138</v>
      </c>
      <c r="B27" s="6">
        <v>20.0</v>
      </c>
      <c r="C27" s="2" t="s">
        <v>131</v>
      </c>
      <c r="E27" s="1" t="str">
        <f t="shared" si="1"/>
        <v>Avulso</v>
      </c>
    </row>
    <row r="28">
      <c r="A28" s="2" t="s">
        <v>48</v>
      </c>
      <c r="B28" s="6">
        <v>20.0</v>
      </c>
      <c r="C28" s="2" t="s">
        <v>131</v>
      </c>
      <c r="E28" s="1" t="str">
        <f t="shared" si="1"/>
        <v>Avulso</v>
      </c>
    </row>
    <row r="29">
      <c r="A29" s="2" t="s">
        <v>106</v>
      </c>
      <c r="B29" s="6">
        <v>25.0</v>
      </c>
      <c r="C29" s="2" t="s">
        <v>139</v>
      </c>
      <c r="E29" s="1" t="str">
        <f t="shared" si="1"/>
        <v>Avulso</v>
      </c>
    </row>
    <row r="30">
      <c r="A30" s="2" t="s">
        <v>44</v>
      </c>
      <c r="B30" s="6">
        <v>60.0</v>
      </c>
      <c r="C30" s="2" t="s">
        <v>139</v>
      </c>
      <c r="E30" s="1" t="str">
        <f t="shared" si="1"/>
        <v>Mensal</v>
      </c>
    </row>
    <row r="31">
      <c r="A31" s="2" t="s">
        <v>133</v>
      </c>
      <c r="B31" s="6">
        <v>60.0</v>
      </c>
      <c r="C31" s="2" t="s">
        <v>139</v>
      </c>
      <c r="E31" s="1" t="str">
        <f t="shared" si="1"/>
        <v>Mensal</v>
      </c>
    </row>
    <row r="32">
      <c r="A32" s="2" t="s">
        <v>140</v>
      </c>
      <c r="B32" s="6">
        <v>-120.0</v>
      </c>
      <c r="C32" s="2" t="s">
        <v>139</v>
      </c>
    </row>
    <row r="33">
      <c r="A33" s="2" t="s">
        <v>28</v>
      </c>
      <c r="B33" s="6">
        <v>60.0</v>
      </c>
      <c r="C33" s="2" t="s">
        <v>139</v>
      </c>
      <c r="E33" s="1" t="str">
        <f t="shared" ref="E33:E49" si="2">if(B33&gt;=60,"Mensal","Avulso")</f>
        <v>Mensal</v>
      </c>
    </row>
    <row r="34">
      <c r="A34" s="2" t="s">
        <v>141</v>
      </c>
      <c r="B34" s="6">
        <v>60.0</v>
      </c>
      <c r="C34" s="2" t="s">
        <v>139</v>
      </c>
      <c r="E34" s="1" t="str">
        <f t="shared" si="2"/>
        <v>Mensal</v>
      </c>
    </row>
    <row r="35">
      <c r="A35" s="2" t="s">
        <v>62</v>
      </c>
      <c r="B35" s="6">
        <v>60.0</v>
      </c>
      <c r="C35" s="2" t="s">
        <v>139</v>
      </c>
      <c r="E35" s="1" t="str">
        <f t="shared" si="2"/>
        <v>Mensal</v>
      </c>
    </row>
    <row r="36">
      <c r="A36" s="2" t="s">
        <v>142</v>
      </c>
      <c r="B36" s="6">
        <v>60.0</v>
      </c>
      <c r="C36" s="2" t="s">
        <v>139</v>
      </c>
      <c r="E36" s="1" t="str">
        <f t="shared" si="2"/>
        <v>Mensal</v>
      </c>
    </row>
    <row r="37">
      <c r="A37" s="2" t="s">
        <v>32</v>
      </c>
      <c r="B37" s="6">
        <v>-690.0</v>
      </c>
      <c r="C37" s="2" t="s">
        <v>139</v>
      </c>
      <c r="E37" s="1" t="str">
        <f t="shared" si="2"/>
        <v>Avulso</v>
      </c>
    </row>
    <row r="38">
      <c r="A38" s="2" t="s">
        <v>84</v>
      </c>
      <c r="B38" s="6">
        <v>60.0</v>
      </c>
      <c r="C38" s="2" t="s">
        <v>139</v>
      </c>
      <c r="E38" s="1" t="str">
        <f t="shared" si="2"/>
        <v>Mensal</v>
      </c>
    </row>
    <row r="39">
      <c r="A39" s="2" t="s">
        <v>83</v>
      </c>
      <c r="B39" s="6">
        <v>25.0</v>
      </c>
      <c r="C39" s="2" t="s">
        <v>139</v>
      </c>
      <c r="E39" s="1" t="str">
        <f t="shared" si="2"/>
        <v>Avulso</v>
      </c>
    </row>
    <row r="40">
      <c r="A40" s="2" t="s">
        <v>92</v>
      </c>
      <c r="B40" s="6">
        <v>25.0</v>
      </c>
      <c r="C40" s="2" t="s">
        <v>139</v>
      </c>
      <c r="E40" s="1" t="str">
        <f t="shared" si="2"/>
        <v>Avulso</v>
      </c>
    </row>
    <row r="41">
      <c r="A41" s="2" t="s">
        <v>30</v>
      </c>
      <c r="B41" s="6">
        <v>60.0</v>
      </c>
      <c r="C41" s="2" t="s">
        <v>139</v>
      </c>
      <c r="E41" s="1" t="str">
        <f t="shared" si="2"/>
        <v>Mensal</v>
      </c>
    </row>
    <row r="42">
      <c r="A42" s="2" t="s">
        <v>82</v>
      </c>
      <c r="B42" s="6">
        <v>-39.0</v>
      </c>
      <c r="C42" s="2" t="s">
        <v>139</v>
      </c>
      <c r="E42" s="1" t="str">
        <f t="shared" si="2"/>
        <v>Avulso</v>
      </c>
    </row>
    <row r="43">
      <c r="A43" s="2" t="s">
        <v>99</v>
      </c>
      <c r="B43" s="6">
        <v>80.0</v>
      </c>
      <c r="C43" s="2" t="s">
        <v>139</v>
      </c>
      <c r="E43" s="1" t="str">
        <f t="shared" si="2"/>
        <v>Mensal</v>
      </c>
    </row>
    <row r="44">
      <c r="A44" s="2" t="s">
        <v>82</v>
      </c>
      <c r="B44" s="6">
        <v>-44.0</v>
      </c>
      <c r="C44" s="2" t="s">
        <v>139</v>
      </c>
      <c r="E44" s="1" t="str">
        <f t="shared" si="2"/>
        <v>Avulso</v>
      </c>
    </row>
    <row r="45">
      <c r="A45" s="2" t="s">
        <v>90</v>
      </c>
      <c r="B45" s="6">
        <v>25.0</v>
      </c>
      <c r="C45" s="2" t="s">
        <v>139</v>
      </c>
      <c r="E45" s="1" t="str">
        <f t="shared" si="2"/>
        <v>Avulso</v>
      </c>
    </row>
    <row r="46">
      <c r="A46" s="2" t="s">
        <v>37</v>
      </c>
      <c r="B46" s="6">
        <v>25.0</v>
      </c>
      <c r="C46" s="2" t="s">
        <v>139</v>
      </c>
      <c r="E46" s="1" t="str">
        <f t="shared" si="2"/>
        <v>Avulso</v>
      </c>
    </row>
    <row r="47">
      <c r="A47" s="2" t="s">
        <v>71</v>
      </c>
      <c r="B47" s="6">
        <v>25.0</v>
      </c>
      <c r="C47" s="2" t="s">
        <v>139</v>
      </c>
      <c r="E47" s="1" t="str">
        <f t="shared" si="2"/>
        <v>Avulso</v>
      </c>
    </row>
    <row r="48">
      <c r="A48" s="2" t="s">
        <v>83</v>
      </c>
      <c r="B48" s="6">
        <v>25.0</v>
      </c>
      <c r="C48" s="2" t="s">
        <v>139</v>
      </c>
      <c r="E48" s="1" t="str">
        <f t="shared" si="2"/>
        <v>Avulso</v>
      </c>
    </row>
    <row r="49">
      <c r="A49" s="2" t="s">
        <v>77</v>
      </c>
      <c r="B49" s="6">
        <v>25.0</v>
      </c>
      <c r="C49" s="2" t="s">
        <v>139</v>
      </c>
      <c r="E49" s="1" t="str">
        <f t="shared" si="2"/>
        <v>Avulso</v>
      </c>
    </row>
  </sheetData>
  <dataValidations>
    <dataValidation type="list" allowBlank="1" showErrorMessage="1" sqref="C1:C49">
      <formula1>"11/24,12/24,01/25,02/25"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5" max="5" width="18.13"/>
  </cols>
  <sheetData>
    <row r="1">
      <c r="B1" s="3"/>
    </row>
    <row r="2">
      <c r="A2" s="2" t="s">
        <v>35</v>
      </c>
      <c r="B2" s="6">
        <v>120.0</v>
      </c>
      <c r="C2" s="1" t="s">
        <v>143</v>
      </c>
      <c r="D2" s="2" t="s">
        <v>144</v>
      </c>
    </row>
    <row r="3">
      <c r="A3" s="2" t="s">
        <v>36</v>
      </c>
      <c r="B3" s="6">
        <v>120.0</v>
      </c>
      <c r="C3" s="1" t="s">
        <v>143</v>
      </c>
      <c r="D3" s="1"/>
    </row>
    <row r="4">
      <c r="A4" s="2" t="s">
        <v>34</v>
      </c>
      <c r="B4" s="6">
        <v>120.0</v>
      </c>
      <c r="C4" s="1" t="s">
        <v>143</v>
      </c>
      <c r="D4" s="2" t="s">
        <v>144</v>
      </c>
    </row>
    <row r="5">
      <c r="A5" s="2" t="s">
        <v>92</v>
      </c>
      <c r="B5" s="6">
        <v>120.0</v>
      </c>
      <c r="C5" s="1" t="s">
        <v>145</v>
      </c>
      <c r="D5" s="1"/>
    </row>
    <row r="6">
      <c r="A6" s="2" t="s">
        <v>30</v>
      </c>
      <c r="B6" s="6">
        <v>120.0</v>
      </c>
      <c r="C6" s="1" t="s">
        <v>146</v>
      </c>
      <c r="D6" s="1"/>
    </row>
    <row r="7">
      <c r="A7" s="2" t="s">
        <v>46</v>
      </c>
      <c r="B7" s="6">
        <v>120.0</v>
      </c>
      <c r="C7" s="1" t="s">
        <v>145</v>
      </c>
      <c r="D7" s="2" t="s">
        <v>144</v>
      </c>
    </row>
    <row r="8">
      <c r="A8" s="2" t="s">
        <v>43</v>
      </c>
      <c r="B8" s="6">
        <v>120.0</v>
      </c>
      <c r="C8" s="1" t="s">
        <v>143</v>
      </c>
      <c r="D8" s="1"/>
    </row>
    <row r="9">
      <c r="A9" s="2" t="s">
        <v>38</v>
      </c>
      <c r="B9" s="6">
        <v>120.0</v>
      </c>
      <c r="C9" s="1" t="s">
        <v>147</v>
      </c>
      <c r="D9" s="1"/>
    </row>
    <row r="10">
      <c r="A10" s="2" t="s">
        <v>50</v>
      </c>
      <c r="B10" s="6">
        <v>120.0</v>
      </c>
      <c r="C10" s="1" t="s">
        <v>146</v>
      </c>
      <c r="D10" s="1"/>
      <c r="F10" s="2" t="s">
        <v>148</v>
      </c>
      <c r="H10" s="2" t="s">
        <v>149</v>
      </c>
    </row>
    <row r="11">
      <c r="A11" s="2" t="s">
        <v>28</v>
      </c>
      <c r="B11" s="6">
        <v>120.0</v>
      </c>
      <c r="C11" s="1" t="s">
        <v>143</v>
      </c>
      <c r="D11" s="1"/>
      <c r="F11" s="2" t="s">
        <v>38</v>
      </c>
      <c r="G11" s="1" t="str">
        <f t="shared" ref="G11:G18" si="1">VLOOKUP(F11,$A$1:$C$25,3,FALSE)</f>
        <v> GG </v>
      </c>
      <c r="H11" s="2" t="s">
        <v>37</v>
      </c>
      <c r="I11" s="1" t="str">
        <f t="shared" ref="I11:I18" si="2">VLOOKUP(H11,$A$1:$C$25,3,FALSE)</f>
        <v> G </v>
      </c>
    </row>
    <row r="12">
      <c r="A12" s="2" t="s">
        <v>84</v>
      </c>
      <c r="B12" s="6">
        <v>120.0</v>
      </c>
      <c r="C12" s="1" t="s">
        <v>143</v>
      </c>
      <c r="D12" s="1"/>
      <c r="F12" s="2" t="s">
        <v>92</v>
      </c>
      <c r="G12" s="1" t="str">
        <f t="shared" si="1"/>
        <v> M </v>
      </c>
      <c r="H12" s="2" t="s">
        <v>34</v>
      </c>
      <c r="I12" s="1" t="str">
        <f t="shared" si="2"/>
        <v> G </v>
      </c>
    </row>
    <row r="13">
      <c r="A13" s="2" t="s">
        <v>150</v>
      </c>
      <c r="B13" s="6">
        <v>120.0</v>
      </c>
      <c r="C13" s="1" t="s">
        <v>145</v>
      </c>
      <c r="D13" s="2" t="s">
        <v>151</v>
      </c>
      <c r="F13" s="2" t="s">
        <v>31</v>
      </c>
      <c r="G13" s="1" t="str">
        <f t="shared" si="1"/>
        <v> G </v>
      </c>
      <c r="H13" s="2" t="s">
        <v>51</v>
      </c>
      <c r="I13" s="1" t="str">
        <f t="shared" si="2"/>
        <v> M </v>
      </c>
    </row>
    <row r="14">
      <c r="A14" s="2" t="s">
        <v>51</v>
      </c>
      <c r="B14" s="6">
        <v>120.0</v>
      </c>
      <c r="C14" s="1" t="s">
        <v>145</v>
      </c>
      <c r="D14" s="1"/>
      <c r="F14" s="2" t="s">
        <v>46</v>
      </c>
      <c r="G14" s="1" t="str">
        <f t="shared" si="1"/>
        <v> M </v>
      </c>
      <c r="H14" s="2" t="s">
        <v>48</v>
      </c>
      <c r="I14" s="1" t="str">
        <f t="shared" si="2"/>
        <v> M </v>
      </c>
    </row>
    <row r="15">
      <c r="A15" s="2" t="s">
        <v>39</v>
      </c>
      <c r="B15" s="6">
        <v>120.0</v>
      </c>
      <c r="C15" s="1" t="s">
        <v>145</v>
      </c>
      <c r="D15" s="1"/>
      <c r="F15" s="2" t="s">
        <v>39</v>
      </c>
      <c r="G15" s="1" t="str">
        <f t="shared" si="1"/>
        <v> M </v>
      </c>
      <c r="H15" s="2" t="s">
        <v>50</v>
      </c>
      <c r="I15" s="1" t="str">
        <f t="shared" si="2"/>
        <v> P </v>
      </c>
    </row>
    <row r="16">
      <c r="A16" s="2" t="s">
        <v>90</v>
      </c>
      <c r="B16" s="6">
        <v>120.0</v>
      </c>
      <c r="C16" s="1" t="s">
        <v>143</v>
      </c>
      <c r="D16" s="1"/>
      <c r="F16" s="2" t="s">
        <v>43</v>
      </c>
      <c r="G16" s="1" t="str">
        <f t="shared" si="1"/>
        <v> G </v>
      </c>
      <c r="H16" s="2" t="s">
        <v>28</v>
      </c>
      <c r="I16" s="1" t="str">
        <f t="shared" si="2"/>
        <v> G </v>
      </c>
    </row>
    <row r="17">
      <c r="A17" s="2" t="s">
        <v>152</v>
      </c>
      <c r="B17" s="6">
        <v>120.0</v>
      </c>
      <c r="C17" s="1" t="s">
        <v>143</v>
      </c>
      <c r="D17" s="1"/>
      <c r="F17" s="2" t="s">
        <v>76</v>
      </c>
      <c r="G17" s="1" t="str">
        <f t="shared" si="1"/>
        <v> M </v>
      </c>
      <c r="H17" s="2" t="s">
        <v>150</v>
      </c>
      <c r="I17" s="1" t="str">
        <f t="shared" si="2"/>
        <v> M </v>
      </c>
    </row>
    <row r="18">
      <c r="A18" s="2" t="s">
        <v>152</v>
      </c>
      <c r="B18" s="6">
        <v>120.0</v>
      </c>
      <c r="C18" s="1" t="s">
        <v>143</v>
      </c>
      <c r="D18" s="1"/>
      <c r="F18" s="2" t="s">
        <v>35</v>
      </c>
      <c r="G18" s="1" t="str">
        <f t="shared" si="1"/>
        <v> G </v>
      </c>
      <c r="H18" s="2" t="s">
        <v>99</v>
      </c>
      <c r="I18" s="1" t="str">
        <f t="shared" si="2"/>
        <v>#N/A</v>
      </c>
    </row>
    <row r="19">
      <c r="A19" s="2" t="s">
        <v>31</v>
      </c>
      <c r="B19" s="6">
        <v>120.0</v>
      </c>
      <c r="C19" s="1" t="s">
        <v>143</v>
      </c>
      <c r="D19" s="1"/>
    </row>
    <row r="20">
      <c r="A20" s="2" t="s">
        <v>37</v>
      </c>
      <c r="B20" s="6">
        <v>120.0</v>
      </c>
      <c r="C20" s="1" t="s">
        <v>143</v>
      </c>
      <c r="D20" s="1"/>
    </row>
    <row r="21">
      <c r="A21" s="2" t="s">
        <v>48</v>
      </c>
      <c r="B21" s="6">
        <v>120.0</v>
      </c>
      <c r="C21" s="1" t="s">
        <v>145</v>
      </c>
      <c r="D21" s="2" t="s">
        <v>144</v>
      </c>
    </row>
    <row r="22">
      <c r="A22" s="2" t="s">
        <v>76</v>
      </c>
      <c r="B22" s="6">
        <v>120.0</v>
      </c>
      <c r="C22" s="1" t="s">
        <v>145</v>
      </c>
      <c r="D22" s="1"/>
    </row>
    <row r="23">
      <c r="A23" s="2" t="s">
        <v>45</v>
      </c>
      <c r="B23" s="6">
        <v>120.0</v>
      </c>
      <c r="C23" s="1" t="s">
        <v>145</v>
      </c>
      <c r="D23" s="1"/>
    </row>
    <row r="24">
      <c r="A24" s="2" t="s">
        <v>54</v>
      </c>
      <c r="B24" s="6">
        <v>120.0</v>
      </c>
      <c r="C24" s="1" t="s">
        <v>143</v>
      </c>
      <c r="D24" s="1"/>
    </row>
    <row r="25">
      <c r="A25" s="2" t="s">
        <v>153</v>
      </c>
      <c r="B25" s="6">
        <v>120.0</v>
      </c>
      <c r="C25" s="1" t="s">
        <v>143</v>
      </c>
      <c r="D25" s="1"/>
    </row>
    <row r="26">
      <c r="A26" s="2" t="s">
        <v>154</v>
      </c>
      <c r="B26" s="6"/>
      <c r="C26" s="1" t="s">
        <v>145</v>
      </c>
      <c r="D26" s="1"/>
    </row>
    <row r="27">
      <c r="A27" s="2" t="s">
        <v>155</v>
      </c>
      <c r="B27" s="6">
        <v>-2627.0</v>
      </c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  <row r="1001">
      <c r="B1001" s="3"/>
    </row>
  </sheetData>
  <dataValidations>
    <dataValidation type="list" allowBlank="1" showErrorMessage="1" sqref="D2:D26">
      <formula1>"As duas,Apenas uma,Não pegou"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156</v>
      </c>
      <c r="B1" s="6" t="s">
        <v>157</v>
      </c>
      <c r="C1" s="2" t="s">
        <v>158</v>
      </c>
      <c r="D1" s="2" t="s">
        <v>159</v>
      </c>
    </row>
    <row r="2">
      <c r="A2" s="6" t="s">
        <v>160</v>
      </c>
      <c r="B2" s="6">
        <v>-60.0</v>
      </c>
      <c r="C2" s="7">
        <v>45717.0</v>
      </c>
      <c r="D2" s="2" t="s">
        <v>161</v>
      </c>
    </row>
    <row r="3">
      <c r="A3" s="6" t="s">
        <v>162</v>
      </c>
      <c r="B3" s="6">
        <v>-40.0</v>
      </c>
      <c r="C3" s="7">
        <v>45717.0</v>
      </c>
      <c r="D3" s="2" t="s">
        <v>163</v>
      </c>
    </row>
    <row r="4">
      <c r="A4" s="6" t="s">
        <v>162</v>
      </c>
      <c r="B4" s="6">
        <v>-175.0</v>
      </c>
      <c r="C4" s="8">
        <v>45717.0</v>
      </c>
      <c r="D4" s="2" t="s">
        <v>164</v>
      </c>
    </row>
    <row r="5">
      <c r="A5" s="2" t="s">
        <v>60</v>
      </c>
      <c r="B5" s="6">
        <v>20.0</v>
      </c>
      <c r="C5" s="8">
        <v>45718.0</v>
      </c>
    </row>
    <row r="6">
      <c r="A6" s="2" t="s">
        <v>37</v>
      </c>
      <c r="B6" s="6">
        <v>20.0</v>
      </c>
      <c r="C6" s="8">
        <v>45719.0</v>
      </c>
    </row>
    <row r="7">
      <c r="A7" s="2" t="s">
        <v>51</v>
      </c>
      <c r="B7" s="6">
        <v>20.0</v>
      </c>
      <c r="C7" s="8">
        <v>45720.0</v>
      </c>
    </row>
    <row r="8">
      <c r="A8" s="2" t="s">
        <v>165</v>
      </c>
      <c r="B8" s="6">
        <v>20.0</v>
      </c>
      <c r="C8" s="8">
        <v>45721.0</v>
      </c>
    </row>
    <row r="9">
      <c r="A9" s="2" t="s">
        <v>36</v>
      </c>
      <c r="B9" s="6">
        <v>20.0</v>
      </c>
      <c r="C9" s="8">
        <v>45722.0</v>
      </c>
    </row>
    <row r="10">
      <c r="A10" s="6" t="s">
        <v>50</v>
      </c>
      <c r="B10" s="6">
        <v>20.0</v>
      </c>
      <c r="C10" s="8">
        <v>45723.0</v>
      </c>
    </row>
    <row r="11">
      <c r="A11" s="6" t="s">
        <v>43</v>
      </c>
      <c r="B11" s="6">
        <v>20.0</v>
      </c>
      <c r="C11" s="8">
        <v>45724.0</v>
      </c>
    </row>
    <row r="12">
      <c r="A12" s="6" t="s">
        <v>46</v>
      </c>
      <c r="B12" s="6">
        <v>20.0</v>
      </c>
      <c r="C12" s="8">
        <v>45725.0</v>
      </c>
    </row>
    <row r="13">
      <c r="A13" s="6" t="s">
        <v>86</v>
      </c>
      <c r="B13" s="6">
        <v>20.0</v>
      </c>
      <c r="C13" s="8">
        <v>45726.0</v>
      </c>
    </row>
    <row r="14">
      <c r="A14" s="6" t="s">
        <v>81</v>
      </c>
      <c r="B14" s="6">
        <v>20.0</v>
      </c>
      <c r="C14" s="8">
        <v>45727.0</v>
      </c>
    </row>
    <row r="15">
      <c r="A15" s="6" t="s">
        <v>38</v>
      </c>
      <c r="B15" s="6">
        <v>20.0</v>
      </c>
      <c r="C15" s="8">
        <v>45728.0</v>
      </c>
    </row>
    <row r="16">
      <c r="A16" s="6" t="s">
        <v>34</v>
      </c>
      <c r="B16" s="6">
        <v>20.0</v>
      </c>
      <c r="C16" s="8">
        <v>45729.0</v>
      </c>
    </row>
    <row r="17">
      <c r="A17" s="6" t="s">
        <v>160</v>
      </c>
      <c r="B17" s="6">
        <v>-65.0</v>
      </c>
      <c r="C17" s="8">
        <v>45748.0</v>
      </c>
    </row>
    <row r="18">
      <c r="A18" s="6" t="s">
        <v>167</v>
      </c>
      <c r="B18" s="6">
        <v>100.0</v>
      </c>
      <c r="C18" s="8">
        <v>45748.0</v>
      </c>
    </row>
    <row r="19">
      <c r="A19" s="6" t="s">
        <v>160</v>
      </c>
      <c r="B19" s="6">
        <v>-60.0</v>
      </c>
      <c r="C19" s="8">
        <v>45962.0</v>
      </c>
    </row>
    <row r="20">
      <c r="A20" s="6" t="s">
        <v>162</v>
      </c>
      <c r="B20" s="6">
        <v>-420.0</v>
      </c>
      <c r="C20" s="8">
        <v>45962.0</v>
      </c>
    </row>
    <row r="21">
      <c r="A21" s="6" t="s">
        <v>34</v>
      </c>
      <c r="B21" s="6">
        <v>40.0</v>
      </c>
      <c r="C21" s="8">
        <v>45962.0</v>
      </c>
    </row>
    <row r="22">
      <c r="A22" s="6" t="s">
        <v>168</v>
      </c>
      <c r="B22" s="6">
        <v>40.0</v>
      </c>
      <c r="C22" s="8">
        <v>45962.0</v>
      </c>
    </row>
    <row r="23">
      <c r="A23" s="6" t="s">
        <v>51</v>
      </c>
      <c r="B23" s="6">
        <v>40.0</v>
      </c>
      <c r="C23" s="8">
        <v>45962.0</v>
      </c>
    </row>
    <row r="24">
      <c r="A24" s="6" t="s">
        <v>28</v>
      </c>
      <c r="B24" s="6">
        <v>40.0</v>
      </c>
      <c r="C24" s="8">
        <v>45962.0</v>
      </c>
    </row>
    <row r="25">
      <c r="A25" s="6" t="s">
        <v>39</v>
      </c>
      <c r="B25" s="6">
        <v>40.0</v>
      </c>
      <c r="C25" s="8">
        <v>45962.0</v>
      </c>
    </row>
    <row r="26">
      <c r="A26" s="6" t="s">
        <v>52</v>
      </c>
      <c r="B26" s="6">
        <v>40.0</v>
      </c>
      <c r="C26" s="8">
        <v>45962.0</v>
      </c>
    </row>
    <row r="27">
      <c r="A27" s="6" t="s">
        <v>29</v>
      </c>
      <c r="B27" s="6">
        <v>40.0</v>
      </c>
      <c r="C27" s="8">
        <v>45962.0</v>
      </c>
    </row>
    <row r="28">
      <c r="A28" s="6" t="s">
        <v>41</v>
      </c>
      <c r="B28" s="6">
        <v>40.0</v>
      </c>
      <c r="C28" s="8">
        <v>45962.0</v>
      </c>
    </row>
    <row r="29">
      <c r="A29" s="6" t="s">
        <v>36</v>
      </c>
      <c r="B29" s="6">
        <v>40.0</v>
      </c>
      <c r="C29" s="8">
        <v>45962.0</v>
      </c>
    </row>
    <row r="30">
      <c r="A30" s="6" t="s">
        <v>50</v>
      </c>
      <c r="B30" s="6">
        <v>40.0</v>
      </c>
      <c r="C30" s="8">
        <v>45962.0</v>
      </c>
    </row>
    <row r="31">
      <c r="A31" s="6" t="s">
        <v>45</v>
      </c>
      <c r="B31" s="6">
        <v>40.0</v>
      </c>
      <c r="C31" s="8">
        <v>45962.0</v>
      </c>
    </row>
    <row r="32">
      <c r="A32" s="6" t="s">
        <v>104</v>
      </c>
      <c r="B32" s="6">
        <v>40.0</v>
      </c>
      <c r="C32" s="8">
        <v>45962.0</v>
      </c>
    </row>
    <row r="33">
      <c r="A33" s="3"/>
      <c r="B33" s="3"/>
      <c r="C33" s="8">
        <v>45962.0</v>
      </c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  <row r="1001">
      <c r="A1001" s="3"/>
      <c r="B1001" s="3"/>
    </row>
  </sheetData>
  <dataValidations>
    <dataValidation type="list" allowBlank="1" showErrorMessage="1" sqref="C2:C33">
      <formula1>"03/2025,04/2025,11/2025"</formula1>
    </dataValidation>
  </dataValidation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1">
      <c r="A1" s="6" t="s">
        <v>169</v>
      </c>
      <c r="B1" s="2" t="s">
        <v>27</v>
      </c>
    </row>
    <row r="2">
      <c r="A2" s="6">
        <v>75.0</v>
      </c>
      <c r="B2" s="2" t="s">
        <v>118</v>
      </c>
    </row>
    <row r="3">
      <c r="A3" s="6">
        <v>25.0</v>
      </c>
      <c r="B3" s="2" t="s">
        <v>170</v>
      </c>
    </row>
    <row r="4">
      <c r="A4" s="6">
        <v>-920.0</v>
      </c>
      <c r="B4" s="2" t="s">
        <v>171</v>
      </c>
    </row>
    <row r="5">
      <c r="A5" s="6">
        <v>-1100.0</v>
      </c>
      <c r="B5" s="2" t="s">
        <v>172</v>
      </c>
    </row>
    <row r="6">
      <c r="A6" s="6">
        <v>60.0</v>
      </c>
      <c r="B6" s="2" t="s">
        <v>118</v>
      </c>
    </row>
    <row r="7">
      <c r="A7" s="6">
        <v>-40.0</v>
      </c>
      <c r="B7" s="2" t="s">
        <v>128</v>
      </c>
    </row>
    <row r="8">
      <c r="A8" s="6">
        <v>-38.0</v>
      </c>
      <c r="B8" s="2" t="s">
        <v>128</v>
      </c>
    </row>
    <row r="9">
      <c r="A9" s="6">
        <v>20.0</v>
      </c>
      <c r="B9" s="2" t="s">
        <v>173</v>
      </c>
    </row>
    <row r="10">
      <c r="A10" s="6">
        <v>-30.0</v>
      </c>
      <c r="B10" s="2" t="s">
        <v>174</v>
      </c>
    </row>
    <row r="11">
      <c r="A11" s="6">
        <v>-690.0</v>
      </c>
      <c r="B11" s="2" t="s">
        <v>175</v>
      </c>
    </row>
    <row r="12">
      <c r="A12" s="6">
        <v>-240.0</v>
      </c>
      <c r="B12" s="2" t="s">
        <v>176</v>
      </c>
    </row>
    <row r="13">
      <c r="A13" s="3">
        <f t="shared" ref="A13:A15" si="1">$A$12*C13</f>
        <v>-480</v>
      </c>
      <c r="B13" s="1" t="str">
        <f t="shared" ref="B13:B15" si="2">CONCATENATE($B$12, " - ",  C13, " JOGOS")</f>
        <v>Quadra 2026 - 2 JOGOS</v>
      </c>
      <c r="C13" s="2">
        <v>2.0</v>
      </c>
    </row>
    <row r="14">
      <c r="A14" s="3">
        <f t="shared" si="1"/>
        <v>-720</v>
      </c>
      <c r="B14" s="1" t="str">
        <f t="shared" si="2"/>
        <v>Quadra 2026 - 3 JOGOS</v>
      </c>
      <c r="C14" s="2">
        <v>3.0</v>
      </c>
    </row>
    <row r="15">
      <c r="A15" s="3">
        <f t="shared" si="1"/>
        <v>-960</v>
      </c>
      <c r="B15" s="1" t="str">
        <f t="shared" si="2"/>
        <v>Quadra 2026 - 4 JOGOS</v>
      </c>
      <c r="C15" s="2">
        <v>4.0</v>
      </c>
    </row>
    <row r="16">
      <c r="A16" s="6">
        <v>80.0</v>
      </c>
      <c r="B16" s="2" t="s">
        <v>118</v>
      </c>
      <c r="C16" s="2" t="s">
        <v>177</v>
      </c>
    </row>
    <row r="17">
      <c r="A17" s="6">
        <v>-1150.0</v>
      </c>
      <c r="B17" s="2" t="s">
        <v>178</v>
      </c>
    </row>
    <row r="18">
      <c r="A18" s="6">
        <v>85.0</v>
      </c>
      <c r="B18" s="2" t="s">
        <v>118</v>
      </c>
      <c r="C18" s="2" t="s">
        <v>177</v>
      </c>
    </row>
    <row r="19">
      <c r="A19" s="6">
        <v>-45.0</v>
      </c>
      <c r="B19" s="2" t="s">
        <v>128</v>
      </c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2" max="12" width="16.38"/>
    <col customWidth="1" min="14" max="14" width="11.63"/>
  </cols>
  <sheetData>
    <row r="1">
      <c r="L1" s="2" t="s">
        <v>2</v>
      </c>
      <c r="N1" s="1" t="str">
        <f>CONCATENATE(MONTH(TODAY()), "/", RIGHT(YEAR(TODAY()), 2))</f>
        <v>6/26</v>
      </c>
    </row>
    <row r="2">
      <c r="L2" s="1" t="str">
        <f>IFERROR(__xludf.DUMMYFUNCTION("QUERY('2025'!A:D,""SELECT A WHERE D = 'Mensal' AND C='""&amp;N1&amp;""'"", FALSE)"),"#N/A")</f>
        <v>#N/A</v>
      </c>
    </row>
    <row r="3"/>
    <row r="4"/>
    <row r="5"/>
    <row r="6"/>
    <row r="7"/>
    <row r="8"/>
    <row r="9"/>
    <row r="10"/>
    <row r="11"/>
    <row r="12"/>
    <row r="13"/>
    <row r="14"/>
    <row r="15"/>
  </sheetData>
  <drawing r:id="rId3"/>
</worksheet>
</file>